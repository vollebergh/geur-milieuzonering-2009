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ing\waccache\AM4PEPF0002D584\EXCELCNV\0adae46b-4472-4a48-9bc1-1ebbd4f8f272\"/>
    </mc:Choice>
  </mc:AlternateContent>
  <xr:revisionPtr revIDLastSave="0" documentId="8_{D601F951-8A05-48C6-BD57-043D6E26C04B}" xr6:coauthVersionLast="47" xr6:coauthVersionMax="47" xr10:uidLastSave="{00000000-0000-0000-0000-000000000000}"/>
  <bookViews>
    <workbookView xWindow="-60" yWindow="-60" windowWidth="15480" windowHeight="11640" xr2:uid="{4264E177-9F22-4B8A-A399-12FF058C047F}"/>
  </bookViews>
  <sheets>
    <sheet name="EINDTABEL 1 met formule" sheetId="1" r:id="rId1"/>
    <sheet name="codetabel" sheetId="2" r:id="rId2"/>
  </sheets>
  <externalReferences>
    <externalReference r:id="rId3"/>
  </externalReferences>
  <definedNames>
    <definedName name="_xlnm.Print_Titles" localSheetId="0">'EINDTABEL 1 met formule'!$1:$2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24" i="1" l="1"/>
  <c r="P424" i="1"/>
  <c r="R424" i="1"/>
  <c r="O423" i="1"/>
  <c r="P423" i="1"/>
  <c r="R423" i="1"/>
  <c r="O326" i="1"/>
  <c r="O325" i="1"/>
  <c r="O437" i="1"/>
  <c r="O347" i="1"/>
  <c r="O448" i="1"/>
  <c r="O307" i="1"/>
  <c r="O425" i="1"/>
  <c r="O349" i="1"/>
  <c r="P349" i="1"/>
  <c r="R349" i="1"/>
  <c r="O350" i="1"/>
  <c r="P350" i="1"/>
  <c r="R350" i="1"/>
  <c r="P3" i="1"/>
  <c r="R3" i="1"/>
  <c r="P4" i="1"/>
  <c r="R4" i="1"/>
  <c r="O5" i="1"/>
  <c r="P5" i="1"/>
  <c r="R5" i="1"/>
  <c r="O6" i="1"/>
  <c r="P6" i="1"/>
  <c r="R6" i="1"/>
  <c r="O7" i="1"/>
  <c r="P7" i="1"/>
  <c r="R7" i="1"/>
  <c r="O8" i="1"/>
  <c r="P8" i="1"/>
  <c r="R8" i="1"/>
  <c r="O9" i="1"/>
  <c r="P9" i="1"/>
  <c r="R9" i="1"/>
  <c r="O10" i="1"/>
  <c r="P10" i="1"/>
  <c r="R10" i="1"/>
  <c r="O11" i="1"/>
  <c r="P11" i="1"/>
  <c r="R11" i="1"/>
  <c r="P12" i="1"/>
  <c r="R12" i="1"/>
  <c r="O13" i="1"/>
  <c r="P13" i="1"/>
  <c r="R13" i="1"/>
  <c r="O14" i="1"/>
  <c r="P14" i="1"/>
  <c r="R14" i="1"/>
  <c r="O15" i="1"/>
  <c r="P15" i="1"/>
  <c r="R15" i="1"/>
  <c r="O16" i="1"/>
  <c r="P16" i="1"/>
  <c r="R16" i="1"/>
  <c r="O17" i="1"/>
  <c r="P17" i="1"/>
  <c r="R17" i="1"/>
  <c r="P18" i="1"/>
  <c r="R18" i="1"/>
  <c r="O19" i="1"/>
  <c r="P19" i="1"/>
  <c r="R19" i="1"/>
  <c r="O20" i="1"/>
  <c r="P20" i="1"/>
  <c r="R20" i="1"/>
  <c r="P21" i="1"/>
  <c r="R21" i="1"/>
  <c r="O22" i="1"/>
  <c r="P22" i="1"/>
  <c r="R22" i="1"/>
  <c r="O23" i="1"/>
  <c r="P23" i="1"/>
  <c r="R23" i="1"/>
  <c r="O24" i="1"/>
  <c r="P24" i="1"/>
  <c r="R24" i="1"/>
  <c r="O25" i="1"/>
  <c r="P25" i="1"/>
  <c r="R25" i="1"/>
  <c r="O26" i="1"/>
  <c r="P26" i="1"/>
  <c r="R26" i="1"/>
  <c r="P27" i="1"/>
  <c r="R27" i="1"/>
  <c r="O28" i="1"/>
  <c r="P28" i="1"/>
  <c r="R28" i="1"/>
  <c r="O29" i="1"/>
  <c r="P29" i="1"/>
  <c r="R29" i="1"/>
  <c r="P30" i="1"/>
  <c r="R30" i="1"/>
  <c r="O31" i="1"/>
  <c r="P31" i="1"/>
  <c r="R31" i="1"/>
  <c r="O32" i="1"/>
  <c r="P32" i="1"/>
  <c r="R32" i="1"/>
  <c r="P33" i="1"/>
  <c r="R33" i="1"/>
  <c r="O34" i="1"/>
  <c r="P34" i="1"/>
  <c r="R34" i="1"/>
  <c r="O35" i="1"/>
  <c r="P35" i="1"/>
  <c r="R35" i="1"/>
  <c r="P36" i="1"/>
  <c r="R36" i="1"/>
  <c r="O37" i="1"/>
  <c r="P37" i="1"/>
  <c r="R37" i="1"/>
  <c r="O38" i="1"/>
  <c r="P38" i="1"/>
  <c r="R38" i="1"/>
  <c r="O39" i="1"/>
  <c r="P39" i="1"/>
  <c r="R39" i="1"/>
  <c r="O40" i="1"/>
  <c r="P40" i="1"/>
  <c r="R40" i="1"/>
  <c r="O41" i="1"/>
  <c r="P41" i="1"/>
  <c r="R41" i="1"/>
  <c r="P42" i="1"/>
  <c r="R42" i="1"/>
  <c r="O44" i="1"/>
  <c r="P44" i="1"/>
  <c r="R44" i="1"/>
  <c r="O43" i="1"/>
  <c r="P43" i="1"/>
  <c r="R43" i="1"/>
  <c r="O45" i="1"/>
  <c r="P45" i="1"/>
  <c r="R45" i="1"/>
  <c r="P46" i="1"/>
  <c r="R46" i="1"/>
  <c r="O47" i="1"/>
  <c r="P47" i="1"/>
  <c r="R47" i="1"/>
  <c r="O48" i="1"/>
  <c r="P48" i="1"/>
  <c r="R48" i="1"/>
  <c r="P49" i="1"/>
  <c r="R49" i="1"/>
  <c r="O50" i="1"/>
  <c r="P50" i="1"/>
  <c r="R50" i="1"/>
  <c r="O51" i="1"/>
  <c r="P51" i="1"/>
  <c r="R51" i="1"/>
  <c r="O52" i="1"/>
  <c r="P52" i="1"/>
  <c r="R52" i="1"/>
  <c r="O53" i="1"/>
  <c r="P53" i="1"/>
  <c r="R53" i="1"/>
  <c r="P54" i="1"/>
  <c r="R54" i="1"/>
  <c r="O55" i="1"/>
  <c r="P55" i="1"/>
  <c r="R55" i="1"/>
  <c r="O56" i="1"/>
  <c r="P56" i="1"/>
  <c r="R56" i="1"/>
  <c r="O57" i="1"/>
  <c r="P57" i="1"/>
  <c r="R57" i="1"/>
  <c r="P58" i="1"/>
  <c r="R58" i="1"/>
  <c r="P59" i="1"/>
  <c r="R59" i="1"/>
  <c r="O60" i="1"/>
  <c r="P60" i="1"/>
  <c r="R60" i="1"/>
  <c r="O61" i="1"/>
  <c r="P61" i="1"/>
  <c r="R61" i="1"/>
  <c r="O62" i="1"/>
  <c r="P62" i="1"/>
  <c r="R62" i="1"/>
  <c r="O63" i="1"/>
  <c r="P63" i="1"/>
  <c r="R63" i="1"/>
  <c r="P64" i="1"/>
  <c r="R64" i="1"/>
  <c r="O65" i="1"/>
  <c r="P65" i="1"/>
  <c r="R65" i="1"/>
  <c r="O66" i="1"/>
  <c r="P66" i="1"/>
  <c r="R66" i="1"/>
  <c r="O67" i="1"/>
  <c r="P67" i="1"/>
  <c r="R67" i="1"/>
  <c r="O68" i="1"/>
  <c r="P68" i="1"/>
  <c r="R68" i="1"/>
  <c r="P69" i="1"/>
  <c r="R69" i="1"/>
  <c r="O70" i="1"/>
  <c r="P70" i="1"/>
  <c r="R70" i="1"/>
  <c r="O71" i="1"/>
  <c r="P71" i="1"/>
  <c r="R71" i="1"/>
  <c r="O72" i="1"/>
  <c r="P72" i="1"/>
  <c r="R72" i="1"/>
  <c r="O73" i="1"/>
  <c r="P73" i="1"/>
  <c r="R73" i="1"/>
  <c r="P74" i="1"/>
  <c r="R74" i="1"/>
  <c r="O75" i="1"/>
  <c r="P75" i="1"/>
  <c r="R75" i="1"/>
  <c r="O76" i="1"/>
  <c r="P76" i="1"/>
  <c r="R76" i="1"/>
  <c r="O77" i="1"/>
  <c r="P77" i="1"/>
  <c r="R77" i="1"/>
  <c r="O78" i="1"/>
  <c r="P78" i="1"/>
  <c r="R78" i="1"/>
  <c r="O79" i="1"/>
  <c r="P79" i="1"/>
  <c r="R79" i="1"/>
  <c r="P81" i="1"/>
  <c r="R81" i="1"/>
  <c r="O82" i="1"/>
  <c r="P82" i="1"/>
  <c r="R82" i="1"/>
  <c r="P83" i="1"/>
  <c r="R83" i="1"/>
  <c r="P84" i="1"/>
  <c r="R84" i="1"/>
  <c r="O85" i="1"/>
  <c r="P85" i="1"/>
  <c r="R85" i="1"/>
  <c r="P86" i="1"/>
  <c r="R86" i="1"/>
  <c r="O87" i="1"/>
  <c r="P87" i="1"/>
  <c r="R87" i="1"/>
  <c r="O88" i="1"/>
  <c r="P88" i="1"/>
  <c r="R88" i="1"/>
  <c r="O89" i="1"/>
  <c r="P89" i="1"/>
  <c r="R89" i="1"/>
  <c r="O90" i="1"/>
  <c r="P90" i="1"/>
  <c r="R90" i="1"/>
  <c r="O91" i="1"/>
  <c r="P91" i="1"/>
  <c r="R91" i="1"/>
  <c r="O92" i="1"/>
  <c r="P92" i="1"/>
  <c r="R92" i="1"/>
  <c r="P93" i="1"/>
  <c r="R93" i="1"/>
  <c r="P94" i="1"/>
  <c r="R94" i="1"/>
  <c r="O95" i="1"/>
  <c r="P95" i="1"/>
  <c r="R95" i="1"/>
  <c r="O96" i="1"/>
  <c r="P96" i="1"/>
  <c r="R96" i="1"/>
  <c r="P97" i="1"/>
  <c r="R97" i="1"/>
  <c r="P98" i="1"/>
  <c r="R98" i="1"/>
  <c r="O99" i="1"/>
  <c r="P99" i="1"/>
  <c r="R99" i="1"/>
  <c r="O100" i="1"/>
  <c r="P100" i="1"/>
  <c r="R100" i="1"/>
  <c r="O101" i="1"/>
  <c r="P101" i="1"/>
  <c r="R101" i="1"/>
  <c r="P102" i="1"/>
  <c r="R102" i="1"/>
  <c r="P103" i="1"/>
  <c r="R103" i="1"/>
  <c r="O104" i="1"/>
  <c r="P104" i="1"/>
  <c r="R104" i="1"/>
  <c r="P105" i="1"/>
  <c r="R105" i="1"/>
  <c r="O106" i="1"/>
  <c r="P106" i="1"/>
  <c r="R106" i="1"/>
  <c r="O107" i="1"/>
  <c r="P107" i="1"/>
  <c r="R107" i="1"/>
  <c r="O108" i="1"/>
  <c r="P108" i="1"/>
  <c r="R108" i="1"/>
  <c r="O109" i="1"/>
  <c r="P109" i="1"/>
  <c r="R109" i="1"/>
  <c r="O110" i="1"/>
  <c r="P110" i="1"/>
  <c r="R110" i="1"/>
  <c r="P111" i="1"/>
  <c r="R111" i="1"/>
  <c r="P112" i="1"/>
  <c r="R112" i="1"/>
  <c r="O113" i="1"/>
  <c r="P113" i="1"/>
  <c r="R113" i="1"/>
  <c r="P114" i="1"/>
  <c r="R114" i="1"/>
  <c r="O115" i="1"/>
  <c r="P115" i="1"/>
  <c r="R115" i="1"/>
  <c r="O116" i="1"/>
  <c r="P116" i="1"/>
  <c r="R116" i="1"/>
  <c r="O117" i="1"/>
  <c r="P117" i="1"/>
  <c r="R117" i="1"/>
  <c r="O118" i="1"/>
  <c r="P118" i="1"/>
  <c r="R118" i="1"/>
  <c r="P119" i="1"/>
  <c r="R119" i="1"/>
  <c r="O120" i="1"/>
  <c r="P120" i="1"/>
  <c r="R120" i="1"/>
  <c r="O121" i="1"/>
  <c r="P121" i="1"/>
  <c r="R121" i="1"/>
  <c r="P122" i="1"/>
  <c r="R122" i="1"/>
  <c r="P123" i="1"/>
  <c r="R123" i="1"/>
  <c r="O124" i="1"/>
  <c r="P124" i="1"/>
  <c r="R124" i="1"/>
  <c r="O125" i="1"/>
  <c r="P125" i="1"/>
  <c r="R125" i="1"/>
  <c r="P126" i="1"/>
  <c r="R126" i="1"/>
  <c r="P127" i="1"/>
  <c r="R127" i="1"/>
  <c r="O128" i="1"/>
  <c r="P128" i="1"/>
  <c r="R128" i="1"/>
  <c r="O129" i="1"/>
  <c r="P129" i="1"/>
  <c r="R129" i="1"/>
  <c r="O130" i="1"/>
  <c r="P130" i="1"/>
  <c r="R130" i="1"/>
  <c r="O131" i="1"/>
  <c r="P131" i="1"/>
  <c r="R131" i="1"/>
  <c r="O132" i="1"/>
  <c r="P132" i="1"/>
  <c r="R132" i="1"/>
  <c r="P133" i="1"/>
  <c r="R133" i="1"/>
  <c r="P134" i="1"/>
  <c r="R134" i="1"/>
  <c r="P135" i="1"/>
  <c r="R135" i="1"/>
  <c r="O136" i="1"/>
  <c r="P136" i="1"/>
  <c r="R136" i="1"/>
  <c r="P137" i="1"/>
  <c r="R137" i="1"/>
  <c r="O138" i="1"/>
  <c r="P138" i="1"/>
  <c r="R138" i="1"/>
  <c r="P139" i="1"/>
  <c r="R139" i="1"/>
  <c r="O140" i="1"/>
  <c r="P140" i="1"/>
  <c r="R140" i="1"/>
  <c r="P141" i="1"/>
  <c r="R141" i="1"/>
  <c r="O142" i="1"/>
  <c r="P142" i="1"/>
  <c r="R142" i="1"/>
  <c r="O143" i="1"/>
  <c r="P143" i="1"/>
  <c r="R143" i="1"/>
  <c r="P144" i="1"/>
  <c r="R144" i="1"/>
  <c r="O145" i="1"/>
  <c r="P145" i="1"/>
  <c r="R145" i="1"/>
  <c r="P146" i="1"/>
  <c r="R146" i="1"/>
  <c r="O147" i="1"/>
  <c r="P147" i="1"/>
  <c r="R147" i="1"/>
  <c r="P148" i="1"/>
  <c r="R148" i="1"/>
  <c r="O149" i="1"/>
  <c r="P149" i="1"/>
  <c r="R149" i="1"/>
  <c r="P150" i="1"/>
  <c r="R150" i="1"/>
  <c r="O151" i="1"/>
  <c r="P151" i="1"/>
  <c r="R151" i="1"/>
  <c r="O152" i="1"/>
  <c r="P152" i="1"/>
  <c r="R152" i="1"/>
  <c r="O153" i="1"/>
  <c r="P153" i="1"/>
  <c r="R153" i="1"/>
  <c r="P154" i="1"/>
  <c r="R154" i="1"/>
  <c r="O155" i="1"/>
  <c r="P155" i="1"/>
  <c r="R155" i="1"/>
  <c r="O156" i="1"/>
  <c r="P156" i="1"/>
  <c r="R156" i="1"/>
  <c r="O157" i="1"/>
  <c r="P157" i="1"/>
  <c r="R157" i="1"/>
  <c r="O158" i="1"/>
  <c r="P158" i="1"/>
  <c r="R158" i="1"/>
  <c r="O159" i="1"/>
  <c r="P159" i="1"/>
  <c r="R159" i="1"/>
  <c r="P160" i="1"/>
  <c r="R160" i="1"/>
  <c r="P161" i="1"/>
  <c r="R161" i="1"/>
  <c r="O162" i="1"/>
  <c r="P162" i="1"/>
  <c r="R162" i="1"/>
  <c r="P163" i="1"/>
  <c r="R163" i="1"/>
  <c r="O164" i="1"/>
  <c r="P164" i="1"/>
  <c r="R164" i="1"/>
  <c r="O165" i="1"/>
  <c r="P165" i="1"/>
  <c r="R165" i="1"/>
  <c r="O166" i="1"/>
  <c r="P166" i="1"/>
  <c r="R166" i="1"/>
  <c r="P167" i="1"/>
  <c r="R167" i="1"/>
  <c r="O168" i="1"/>
  <c r="P168" i="1"/>
  <c r="R168" i="1"/>
  <c r="O169" i="1"/>
  <c r="P169" i="1"/>
  <c r="R169" i="1"/>
  <c r="O170" i="1"/>
  <c r="P170" i="1"/>
  <c r="R170" i="1"/>
  <c r="P171" i="1"/>
  <c r="R171" i="1"/>
  <c r="P172" i="1"/>
  <c r="R172" i="1"/>
  <c r="P173" i="1"/>
  <c r="R173" i="1"/>
  <c r="O174" i="1"/>
  <c r="P174" i="1"/>
  <c r="R174" i="1"/>
  <c r="O175" i="1"/>
  <c r="P175" i="1"/>
  <c r="R175" i="1"/>
  <c r="O176" i="1"/>
  <c r="P176" i="1"/>
  <c r="R176" i="1"/>
  <c r="O177" i="1"/>
  <c r="P177" i="1"/>
  <c r="R177" i="1"/>
  <c r="P178" i="1"/>
  <c r="R178" i="1"/>
  <c r="O179" i="1"/>
  <c r="P179" i="1"/>
  <c r="R179" i="1"/>
  <c r="O180" i="1"/>
  <c r="P180" i="1"/>
  <c r="R180" i="1"/>
  <c r="O181" i="1"/>
  <c r="P181" i="1"/>
  <c r="R181" i="1"/>
  <c r="P182" i="1"/>
  <c r="R182" i="1"/>
  <c r="P183" i="1"/>
  <c r="R183" i="1"/>
  <c r="O184" i="1"/>
  <c r="P184" i="1"/>
  <c r="R184" i="1"/>
  <c r="P185" i="1"/>
  <c r="R185" i="1"/>
  <c r="O186" i="1"/>
  <c r="P186" i="1"/>
  <c r="R186" i="1"/>
  <c r="P187" i="1"/>
  <c r="R187" i="1"/>
  <c r="O188" i="1"/>
  <c r="P188" i="1"/>
  <c r="R188" i="1"/>
  <c r="O189" i="1"/>
  <c r="P189" i="1"/>
  <c r="R189" i="1"/>
  <c r="P190" i="1"/>
  <c r="R190" i="1"/>
  <c r="O191" i="1"/>
  <c r="P191" i="1"/>
  <c r="R191" i="1"/>
  <c r="O192" i="1"/>
  <c r="P192" i="1"/>
  <c r="R192" i="1"/>
  <c r="O193" i="1"/>
  <c r="P193" i="1"/>
  <c r="R193" i="1"/>
  <c r="P194" i="1"/>
  <c r="R194" i="1"/>
  <c r="O195" i="1"/>
  <c r="P195" i="1"/>
  <c r="R195" i="1"/>
  <c r="O196" i="1"/>
  <c r="P196" i="1"/>
  <c r="R196" i="1"/>
  <c r="P197" i="1"/>
  <c r="R197" i="1"/>
  <c r="O198" i="1"/>
  <c r="P198" i="1"/>
  <c r="R198" i="1"/>
  <c r="O199" i="1"/>
  <c r="P199" i="1"/>
  <c r="R199" i="1"/>
  <c r="P200" i="1"/>
  <c r="R200" i="1"/>
  <c r="O201" i="1"/>
  <c r="P201" i="1"/>
  <c r="R201" i="1"/>
  <c r="O203" i="1"/>
  <c r="P203" i="1"/>
  <c r="R203" i="1"/>
  <c r="O202" i="1"/>
  <c r="P202" i="1"/>
  <c r="R202" i="1"/>
  <c r="O204" i="1"/>
  <c r="P204" i="1"/>
  <c r="R204" i="1"/>
  <c r="P205" i="1"/>
  <c r="R205" i="1"/>
  <c r="O206" i="1"/>
  <c r="P206" i="1"/>
  <c r="R206" i="1"/>
  <c r="P207" i="1"/>
  <c r="R207" i="1"/>
  <c r="O208" i="1"/>
  <c r="P208" i="1"/>
  <c r="R208" i="1"/>
  <c r="O209" i="1"/>
  <c r="P209" i="1"/>
  <c r="R209" i="1"/>
  <c r="O210" i="1"/>
  <c r="P210" i="1"/>
  <c r="R210" i="1"/>
  <c r="O211" i="1"/>
  <c r="P211" i="1"/>
  <c r="R211" i="1"/>
  <c r="O212" i="1"/>
  <c r="P212" i="1"/>
  <c r="R212" i="1"/>
  <c r="P213" i="1"/>
  <c r="R213" i="1"/>
  <c r="P214" i="1"/>
  <c r="R214" i="1"/>
  <c r="P215" i="1"/>
  <c r="R215" i="1"/>
  <c r="O216" i="1"/>
  <c r="P216" i="1"/>
  <c r="R216" i="1"/>
  <c r="P217" i="1"/>
  <c r="R217" i="1"/>
  <c r="P218" i="1"/>
  <c r="R218" i="1"/>
  <c r="O219" i="1"/>
  <c r="P219" i="1"/>
  <c r="R219" i="1"/>
  <c r="P220" i="1"/>
  <c r="R220" i="1"/>
  <c r="O221" i="1"/>
  <c r="P221" i="1"/>
  <c r="R221" i="1"/>
  <c r="P222" i="1"/>
  <c r="R222" i="1"/>
  <c r="P223" i="1"/>
  <c r="R223" i="1"/>
  <c r="O224" i="1"/>
  <c r="P224" i="1"/>
  <c r="R224" i="1"/>
  <c r="P225" i="1"/>
  <c r="R225" i="1"/>
  <c r="O226" i="1"/>
  <c r="P226" i="1"/>
  <c r="R226" i="1"/>
  <c r="P227" i="1"/>
  <c r="R227" i="1"/>
  <c r="P228" i="1"/>
  <c r="R228" i="1"/>
  <c r="P229" i="1"/>
  <c r="R229" i="1"/>
  <c r="O230" i="1"/>
  <c r="P230" i="1"/>
  <c r="R230" i="1"/>
  <c r="O231" i="1"/>
  <c r="P231" i="1"/>
  <c r="R231" i="1"/>
  <c r="O232" i="1"/>
  <c r="P232" i="1"/>
  <c r="R232" i="1"/>
  <c r="O233" i="1"/>
  <c r="P233" i="1"/>
  <c r="R233" i="1"/>
  <c r="P234" i="1"/>
  <c r="R234" i="1"/>
  <c r="O235" i="1"/>
  <c r="P235" i="1"/>
  <c r="R235" i="1"/>
  <c r="O236" i="1"/>
  <c r="P236" i="1"/>
  <c r="R236" i="1"/>
  <c r="O237" i="1"/>
  <c r="P237" i="1"/>
  <c r="R237" i="1"/>
  <c r="O238" i="1"/>
  <c r="P238" i="1"/>
  <c r="R238" i="1"/>
  <c r="O239" i="1"/>
  <c r="P239" i="1"/>
  <c r="R239" i="1"/>
  <c r="P240" i="1"/>
  <c r="R240" i="1"/>
  <c r="O241" i="1"/>
  <c r="P241" i="1"/>
  <c r="R241" i="1"/>
  <c r="O242" i="1"/>
  <c r="P242" i="1"/>
  <c r="R242" i="1"/>
  <c r="O243" i="1"/>
  <c r="P243" i="1"/>
  <c r="R243" i="1"/>
  <c r="O244" i="1"/>
  <c r="P244" i="1"/>
  <c r="R244" i="1"/>
  <c r="O245" i="1"/>
  <c r="P245" i="1"/>
  <c r="R245" i="1"/>
  <c r="O246" i="1"/>
  <c r="P246" i="1"/>
  <c r="R246" i="1"/>
  <c r="O247" i="1"/>
  <c r="P247" i="1"/>
  <c r="R247" i="1"/>
  <c r="O248" i="1"/>
  <c r="P248" i="1"/>
  <c r="R248" i="1"/>
  <c r="O249" i="1"/>
  <c r="P249" i="1"/>
  <c r="R249" i="1"/>
  <c r="O250" i="1"/>
  <c r="P250" i="1"/>
  <c r="R250" i="1"/>
  <c r="O251" i="1"/>
  <c r="P251" i="1"/>
  <c r="R251" i="1"/>
  <c r="O252" i="1"/>
  <c r="P252" i="1"/>
  <c r="R252" i="1"/>
  <c r="O253" i="1"/>
  <c r="P253" i="1"/>
  <c r="R253" i="1"/>
  <c r="O254" i="1"/>
  <c r="P254" i="1"/>
  <c r="R254" i="1"/>
  <c r="P255" i="1"/>
  <c r="R255" i="1"/>
  <c r="O256" i="1"/>
  <c r="P256" i="1"/>
  <c r="R256" i="1"/>
  <c r="O257" i="1"/>
  <c r="P257" i="1"/>
  <c r="R257" i="1"/>
  <c r="O258" i="1"/>
  <c r="P258" i="1"/>
  <c r="R258" i="1"/>
  <c r="P260" i="1"/>
  <c r="R260" i="1"/>
  <c r="P261" i="1"/>
  <c r="R261" i="1"/>
  <c r="O262" i="1"/>
  <c r="P262" i="1"/>
  <c r="R262" i="1"/>
  <c r="O263" i="1"/>
  <c r="P263" i="1"/>
  <c r="R263" i="1"/>
  <c r="O264" i="1"/>
  <c r="P264" i="1"/>
  <c r="R264" i="1"/>
  <c r="P266" i="1"/>
  <c r="R266" i="1"/>
  <c r="P265" i="1"/>
  <c r="R265" i="1"/>
  <c r="O267" i="1"/>
  <c r="P267" i="1"/>
  <c r="R267" i="1"/>
  <c r="P268" i="1"/>
  <c r="R268" i="1"/>
  <c r="P269" i="1"/>
  <c r="R269" i="1"/>
  <c r="O270" i="1"/>
  <c r="P270" i="1"/>
  <c r="R270" i="1"/>
  <c r="O271" i="1"/>
  <c r="P271" i="1"/>
  <c r="R271" i="1"/>
  <c r="O272" i="1"/>
  <c r="P272" i="1"/>
  <c r="R272" i="1"/>
  <c r="O273" i="1"/>
  <c r="P273" i="1"/>
  <c r="R273" i="1"/>
  <c r="O274" i="1"/>
  <c r="P274" i="1"/>
  <c r="R274" i="1"/>
  <c r="O275" i="1"/>
  <c r="P275" i="1"/>
  <c r="R275" i="1"/>
  <c r="P276" i="1"/>
  <c r="R276" i="1"/>
  <c r="P277" i="1"/>
  <c r="R277" i="1"/>
  <c r="O278" i="1"/>
  <c r="P278" i="1"/>
  <c r="R278" i="1"/>
  <c r="O279" i="1"/>
  <c r="P279" i="1"/>
  <c r="R279" i="1"/>
  <c r="P280" i="1"/>
  <c r="R280" i="1"/>
  <c r="P281" i="1"/>
  <c r="R281" i="1"/>
  <c r="O282" i="1"/>
  <c r="P282" i="1"/>
  <c r="R282" i="1"/>
  <c r="P283" i="1"/>
  <c r="R283" i="1"/>
  <c r="P284" i="1"/>
  <c r="R284" i="1"/>
  <c r="P285" i="1"/>
  <c r="R285" i="1"/>
  <c r="O286" i="1"/>
  <c r="P286" i="1"/>
  <c r="R286" i="1"/>
  <c r="O287" i="1"/>
  <c r="P287" i="1"/>
  <c r="R287" i="1"/>
  <c r="O288" i="1"/>
  <c r="P288" i="1"/>
  <c r="R288" i="1"/>
  <c r="O289" i="1"/>
  <c r="P289" i="1"/>
  <c r="R289" i="1"/>
  <c r="O290" i="1"/>
  <c r="P290" i="1"/>
  <c r="R290" i="1"/>
  <c r="P291" i="1"/>
  <c r="R291" i="1"/>
  <c r="P292" i="1"/>
  <c r="R292" i="1"/>
  <c r="P293" i="1"/>
  <c r="R293" i="1"/>
  <c r="O294" i="1"/>
  <c r="P294" i="1"/>
  <c r="R294" i="1"/>
  <c r="O295" i="1"/>
  <c r="P295" i="1"/>
  <c r="R295" i="1"/>
  <c r="O296" i="1"/>
  <c r="P296" i="1"/>
  <c r="R296" i="1"/>
  <c r="P297" i="1"/>
  <c r="R297" i="1"/>
  <c r="O298" i="1"/>
  <c r="P298" i="1"/>
  <c r="R298" i="1"/>
  <c r="O299" i="1"/>
  <c r="P299" i="1"/>
  <c r="R299" i="1"/>
  <c r="P300" i="1"/>
  <c r="R300" i="1"/>
  <c r="O301" i="1"/>
  <c r="P301" i="1"/>
  <c r="R301" i="1"/>
  <c r="O302" i="1"/>
  <c r="P302" i="1"/>
  <c r="R302" i="1"/>
  <c r="O303" i="1"/>
  <c r="P303" i="1"/>
  <c r="R303" i="1"/>
  <c r="P304" i="1"/>
  <c r="R304" i="1"/>
  <c r="P305" i="1"/>
  <c r="R305" i="1"/>
  <c r="O306" i="1"/>
  <c r="P306" i="1"/>
  <c r="R306" i="1"/>
  <c r="O308" i="1"/>
  <c r="P308" i="1"/>
  <c r="R308" i="1"/>
  <c r="O309" i="1"/>
  <c r="P309" i="1"/>
  <c r="R309" i="1"/>
  <c r="O310" i="1"/>
  <c r="P310" i="1"/>
  <c r="R310" i="1"/>
  <c r="O311" i="1"/>
  <c r="P311" i="1"/>
  <c r="R311" i="1"/>
  <c r="O312" i="1"/>
  <c r="P312" i="1"/>
  <c r="R312" i="1"/>
  <c r="O313" i="1"/>
  <c r="P313" i="1"/>
  <c r="R313" i="1"/>
  <c r="P314" i="1"/>
  <c r="R314" i="1"/>
  <c r="P315" i="1"/>
  <c r="R315" i="1"/>
  <c r="P316" i="1"/>
  <c r="R316" i="1"/>
  <c r="O317" i="1"/>
  <c r="P317" i="1"/>
  <c r="R317" i="1"/>
  <c r="O318" i="1"/>
  <c r="P318" i="1"/>
  <c r="R318" i="1"/>
  <c r="O319" i="1"/>
  <c r="P319" i="1"/>
  <c r="R319" i="1"/>
  <c r="P320" i="1"/>
  <c r="R320" i="1"/>
  <c r="P321" i="1"/>
  <c r="R321" i="1"/>
  <c r="P322" i="1"/>
  <c r="R322" i="1"/>
  <c r="O323" i="1"/>
  <c r="P323" i="1"/>
  <c r="R323" i="1"/>
  <c r="P327" i="1"/>
  <c r="R327" i="1"/>
  <c r="O328" i="1"/>
  <c r="P328" i="1"/>
  <c r="R328" i="1"/>
  <c r="O329" i="1"/>
  <c r="P329" i="1"/>
  <c r="R329" i="1"/>
  <c r="O330" i="1"/>
  <c r="P330" i="1"/>
  <c r="R330" i="1"/>
  <c r="O331" i="1"/>
  <c r="P331" i="1"/>
  <c r="R331" i="1"/>
  <c r="P332" i="1"/>
  <c r="R332" i="1"/>
  <c r="O333" i="1"/>
  <c r="P333" i="1"/>
  <c r="R333" i="1"/>
  <c r="O334" i="1"/>
  <c r="P334" i="1"/>
  <c r="R334" i="1"/>
  <c r="P335" i="1"/>
  <c r="R335" i="1"/>
  <c r="O336" i="1"/>
  <c r="P336" i="1"/>
  <c r="R336" i="1"/>
  <c r="P337" i="1"/>
  <c r="R337" i="1"/>
  <c r="P338" i="1"/>
  <c r="R338" i="1"/>
  <c r="P339" i="1"/>
  <c r="R339" i="1"/>
  <c r="O340" i="1"/>
  <c r="P340" i="1"/>
  <c r="R340" i="1"/>
  <c r="P341" i="1"/>
  <c r="R341" i="1"/>
  <c r="O342" i="1"/>
  <c r="P342" i="1"/>
  <c r="R342" i="1"/>
  <c r="O343" i="1"/>
  <c r="P343" i="1"/>
  <c r="R343" i="1"/>
  <c r="O344" i="1"/>
  <c r="P344" i="1"/>
  <c r="R344" i="1"/>
  <c r="P345" i="1"/>
  <c r="R345" i="1"/>
  <c r="P346" i="1"/>
  <c r="R346" i="1"/>
  <c r="O348" i="1"/>
  <c r="P348" i="1"/>
  <c r="R348" i="1"/>
  <c r="P351" i="1"/>
  <c r="R351" i="1"/>
  <c r="P352" i="1"/>
  <c r="R352" i="1"/>
  <c r="O353" i="1"/>
  <c r="P353" i="1"/>
  <c r="R353" i="1"/>
  <c r="O354" i="1"/>
  <c r="P354" i="1"/>
  <c r="R354" i="1"/>
  <c r="O355" i="1"/>
  <c r="P355" i="1"/>
  <c r="R355" i="1"/>
  <c r="P356" i="1"/>
  <c r="R356" i="1"/>
  <c r="P357" i="1"/>
  <c r="R357" i="1"/>
  <c r="O358" i="1"/>
  <c r="P358" i="1"/>
  <c r="R358" i="1"/>
  <c r="O359" i="1"/>
  <c r="P359" i="1"/>
  <c r="R359" i="1"/>
  <c r="O360" i="1"/>
  <c r="P360" i="1"/>
  <c r="R360" i="1"/>
  <c r="O361" i="1"/>
  <c r="P361" i="1"/>
  <c r="R361" i="1"/>
  <c r="O362" i="1"/>
  <c r="P362" i="1"/>
  <c r="R362" i="1"/>
  <c r="O363" i="1"/>
  <c r="P363" i="1"/>
  <c r="R363" i="1"/>
  <c r="O364" i="1"/>
  <c r="P364" i="1"/>
  <c r="R364" i="1"/>
  <c r="O365" i="1"/>
  <c r="P365" i="1"/>
  <c r="R365" i="1"/>
  <c r="O366" i="1"/>
  <c r="P366" i="1"/>
  <c r="R366" i="1"/>
  <c r="O367" i="1"/>
  <c r="P367" i="1"/>
  <c r="R367" i="1"/>
  <c r="O368" i="1"/>
  <c r="P368" i="1"/>
  <c r="R368" i="1"/>
  <c r="O369" i="1"/>
  <c r="P369" i="1"/>
  <c r="R369" i="1"/>
  <c r="O370" i="1"/>
  <c r="P370" i="1"/>
  <c r="R370" i="1"/>
  <c r="P371" i="1"/>
  <c r="R371" i="1"/>
  <c r="O372" i="1"/>
  <c r="P372" i="1"/>
  <c r="R372" i="1"/>
  <c r="O373" i="1"/>
  <c r="P373" i="1"/>
  <c r="R373" i="1"/>
  <c r="O374" i="1"/>
  <c r="P374" i="1"/>
  <c r="R374" i="1"/>
  <c r="P375" i="1"/>
  <c r="R375" i="1"/>
  <c r="O376" i="1"/>
  <c r="P376" i="1"/>
  <c r="R376" i="1"/>
  <c r="P377" i="1"/>
  <c r="R377" i="1"/>
  <c r="O378" i="1"/>
  <c r="P378" i="1"/>
  <c r="R378" i="1"/>
  <c r="O379" i="1"/>
  <c r="P379" i="1"/>
  <c r="R379" i="1"/>
  <c r="O380" i="1"/>
  <c r="P380" i="1"/>
  <c r="R380" i="1"/>
  <c r="P381" i="1"/>
  <c r="R381" i="1"/>
  <c r="O382" i="1"/>
  <c r="P382" i="1"/>
  <c r="R382" i="1"/>
  <c r="O383" i="1"/>
  <c r="P383" i="1"/>
  <c r="R383" i="1"/>
  <c r="P384" i="1"/>
  <c r="R384" i="1"/>
  <c r="O385" i="1"/>
  <c r="P385" i="1"/>
  <c r="R385" i="1"/>
  <c r="O386" i="1"/>
  <c r="P386" i="1"/>
  <c r="R386" i="1"/>
  <c r="P387" i="1"/>
  <c r="R387" i="1"/>
  <c r="O388" i="1"/>
  <c r="P388" i="1"/>
  <c r="R388" i="1"/>
  <c r="O389" i="1"/>
  <c r="P389" i="1"/>
  <c r="R389" i="1"/>
  <c r="P390" i="1"/>
  <c r="R390" i="1"/>
  <c r="O391" i="1"/>
  <c r="P391" i="1"/>
  <c r="R391" i="1"/>
  <c r="O392" i="1"/>
  <c r="P392" i="1"/>
  <c r="R392" i="1"/>
  <c r="O393" i="1"/>
  <c r="P393" i="1"/>
  <c r="R393" i="1"/>
  <c r="O394" i="1"/>
  <c r="P394" i="1"/>
  <c r="R394" i="1"/>
  <c r="O395" i="1"/>
  <c r="P395" i="1"/>
  <c r="R395" i="1"/>
  <c r="O396" i="1"/>
  <c r="P396" i="1"/>
  <c r="R396" i="1"/>
  <c r="O397" i="1"/>
  <c r="P397" i="1"/>
  <c r="R397" i="1"/>
  <c r="O399" i="1"/>
  <c r="P399" i="1"/>
  <c r="R399" i="1"/>
  <c r="O398" i="1"/>
  <c r="P398" i="1"/>
  <c r="R398" i="1"/>
  <c r="P400" i="1"/>
  <c r="R400" i="1"/>
  <c r="O401" i="1"/>
  <c r="P401" i="1"/>
  <c r="R401" i="1"/>
  <c r="O402" i="1"/>
  <c r="P402" i="1"/>
  <c r="R402" i="1"/>
  <c r="O403" i="1"/>
  <c r="P403" i="1"/>
  <c r="R403" i="1"/>
  <c r="P404" i="1"/>
  <c r="R404" i="1"/>
  <c r="P405" i="1"/>
  <c r="R405" i="1"/>
  <c r="O406" i="1"/>
  <c r="P406" i="1"/>
  <c r="R406" i="1"/>
  <c r="O407" i="1"/>
  <c r="P407" i="1"/>
  <c r="R407" i="1"/>
  <c r="O408" i="1"/>
  <c r="P408" i="1"/>
  <c r="R408" i="1"/>
  <c r="O409" i="1"/>
  <c r="P409" i="1"/>
  <c r="R409" i="1"/>
  <c r="O410" i="1"/>
  <c r="P410" i="1"/>
  <c r="R410" i="1"/>
  <c r="P411" i="1"/>
  <c r="R411" i="1"/>
  <c r="P412" i="1"/>
  <c r="R412" i="1"/>
  <c r="P413" i="1"/>
  <c r="R413" i="1"/>
  <c r="O414" i="1"/>
  <c r="P414" i="1"/>
  <c r="R414" i="1"/>
  <c r="O415" i="1"/>
  <c r="P415" i="1"/>
  <c r="R415" i="1"/>
  <c r="P416" i="1"/>
  <c r="R416" i="1"/>
  <c r="O417" i="1"/>
  <c r="P417" i="1"/>
  <c r="R417" i="1"/>
  <c r="O418" i="1"/>
  <c r="P418" i="1"/>
  <c r="R418" i="1"/>
  <c r="O419" i="1"/>
  <c r="P419" i="1"/>
  <c r="R419" i="1"/>
  <c r="O420" i="1"/>
  <c r="P420" i="1"/>
  <c r="R420" i="1"/>
  <c r="O421" i="1"/>
  <c r="P421" i="1"/>
  <c r="R421" i="1"/>
  <c r="O422" i="1"/>
  <c r="P422" i="1"/>
  <c r="R422" i="1"/>
  <c r="P426" i="1"/>
  <c r="R426" i="1"/>
  <c r="P427" i="1"/>
  <c r="R427" i="1"/>
  <c r="O428" i="1"/>
  <c r="P428" i="1"/>
  <c r="R428" i="1"/>
  <c r="O429" i="1"/>
  <c r="P429" i="1"/>
  <c r="R429" i="1"/>
  <c r="P430" i="1"/>
  <c r="R430" i="1"/>
  <c r="P431" i="1"/>
  <c r="R431" i="1"/>
  <c r="O432" i="1"/>
  <c r="P432" i="1"/>
  <c r="R432" i="1"/>
  <c r="O433" i="1"/>
  <c r="P433" i="1"/>
  <c r="R433" i="1"/>
  <c r="O434" i="1"/>
  <c r="P434" i="1"/>
  <c r="R434" i="1"/>
  <c r="P436" i="1"/>
  <c r="R436" i="1"/>
  <c r="P438" i="1"/>
  <c r="R438" i="1"/>
  <c r="P439" i="1"/>
  <c r="R439" i="1"/>
  <c r="O440" i="1"/>
  <c r="P440" i="1"/>
  <c r="R440" i="1"/>
  <c r="O441" i="1"/>
  <c r="P441" i="1"/>
  <c r="R441" i="1"/>
  <c r="O442" i="1"/>
  <c r="P442" i="1"/>
  <c r="R442" i="1"/>
  <c r="P443" i="1"/>
  <c r="R443" i="1"/>
  <c r="P444" i="1"/>
  <c r="R444" i="1"/>
  <c r="P445" i="1"/>
  <c r="R445" i="1"/>
  <c r="O446" i="1"/>
  <c r="P446" i="1"/>
  <c r="R446" i="1"/>
  <c r="O447" i="1"/>
  <c r="P447" i="1"/>
  <c r="R447" i="1"/>
  <c r="O449" i="1"/>
  <c r="P449" i="1"/>
  <c r="R449" i="1"/>
  <c r="O450" i="1"/>
  <c r="P450" i="1"/>
  <c r="R450" i="1"/>
  <c r="O451" i="1"/>
  <c r="P451" i="1"/>
  <c r="R451" i="1"/>
  <c r="P452" i="1"/>
  <c r="R452" i="1"/>
  <c r="O453" i="1"/>
  <c r="P453" i="1"/>
  <c r="R453" i="1"/>
  <c r="O454" i="1"/>
  <c r="P454" i="1"/>
  <c r="R454" i="1"/>
  <c r="O455" i="1"/>
  <c r="P455" i="1"/>
  <c r="R455" i="1"/>
  <c r="O456" i="1"/>
  <c r="P456" i="1"/>
  <c r="R456" i="1"/>
  <c r="O457" i="1"/>
  <c r="P457" i="1"/>
  <c r="R457" i="1"/>
  <c r="O458" i="1"/>
  <c r="P458" i="1"/>
  <c r="R458" i="1"/>
  <c r="O459" i="1"/>
  <c r="P459" i="1"/>
  <c r="R459" i="1"/>
  <c r="P460" i="1"/>
  <c r="R460" i="1"/>
  <c r="P461" i="1"/>
  <c r="R461" i="1"/>
  <c r="O462" i="1"/>
  <c r="P462" i="1"/>
  <c r="R462" i="1"/>
  <c r="O463" i="1"/>
  <c r="P463" i="1"/>
  <c r="R463" i="1"/>
  <c r="P464" i="1"/>
  <c r="R464" i="1"/>
  <c r="P465" i="1"/>
  <c r="R465" i="1"/>
  <c r="O466" i="1"/>
  <c r="P466" i="1"/>
  <c r="R466" i="1"/>
  <c r="O467" i="1"/>
  <c r="P467" i="1"/>
  <c r="R467" i="1"/>
  <c r="O468" i="1"/>
  <c r="P468" i="1"/>
  <c r="R468" i="1"/>
  <c r="O469" i="1"/>
  <c r="P469" i="1"/>
  <c r="R469" i="1"/>
</calcChain>
</file>

<file path=xl/sharedStrings.xml><?xml version="1.0" encoding="utf-8"?>
<sst xmlns="http://schemas.openxmlformats.org/spreadsheetml/2006/main" count="2427" uniqueCount="892">
  <si>
    <t>SBI-CODE</t>
  </si>
  <si>
    <t>SBI-CODE 2008</t>
  </si>
  <si>
    <t>OMSCHRIJVING</t>
  </si>
  <si>
    <t xml:space="preserve">              AFSTANDEN IN METERS</t>
  </si>
  <si>
    <t>nummer</t>
  </si>
  <si>
    <t>GEUR</t>
  </si>
  <si>
    <t>STOF</t>
  </si>
  <si>
    <t>GELUID</t>
  </si>
  <si>
    <t>GEVAAR</t>
  </si>
  <si>
    <t>VERKEER</t>
  </si>
  <si>
    <t>GROOTSTE AFSTAND</t>
  </si>
  <si>
    <t>CAT</t>
  </si>
  <si>
    <t>CATEGORIE</t>
  </si>
  <si>
    <t>NIEUW</t>
  </si>
  <si>
    <t>15</t>
  </si>
  <si>
    <t>10, 11</t>
  </si>
  <si>
    <t>-</t>
  </si>
  <si>
    <t>VERVAARDIGING VAN VOEDINGSMIDDELEN EN DRANKEN</t>
  </si>
  <si>
    <t>151</t>
  </si>
  <si>
    <t>101, 102</t>
  </si>
  <si>
    <t>0</t>
  </si>
  <si>
    <t>Slachterijen en overige vleesverwerking:</t>
  </si>
  <si>
    <t>1</t>
  </si>
  <si>
    <t>- slachterijen en pluimveeslachterijen</t>
  </si>
  <si>
    <t>C</t>
  </si>
  <si>
    <t>R</t>
  </si>
  <si>
    <t>G</t>
  </si>
  <si>
    <t>D</t>
  </si>
  <si>
    <t>101</t>
  </si>
  <si>
    <t>3</t>
  </si>
  <si>
    <t>- bewerkingsinrichting van darmen en vleesafval</t>
  </si>
  <si>
    <t>4</t>
  </si>
  <si>
    <t>- vleeswaren- en vleesconservenfabrieken: p.o. &gt; 1000 m²</t>
  </si>
  <si>
    <t>5</t>
  </si>
  <si>
    <t>- vleeswaren- en vleesconservenfabrieken: p.o. &lt;= 1000 m²</t>
  </si>
  <si>
    <t>X</t>
  </si>
  <si>
    <t>6</t>
  </si>
  <si>
    <t>- vleeswaren- en vleesconservenfabrieken: p.o. &lt;= 200 m²</t>
  </si>
  <si>
    <t>7</t>
  </si>
  <si>
    <t>- loonslachterijen</t>
  </si>
  <si>
    <t>108</t>
  </si>
  <si>
    <t>8</t>
  </si>
  <si>
    <t xml:space="preserve">- vervaardiging van snacks en vervaardiging van kant-en-klaar-maaltijden met p.o. &lt; 2.000 m² </t>
  </si>
  <si>
    <t>152</t>
  </si>
  <si>
    <t>102</t>
  </si>
  <si>
    <t>Visverwerkingsbedrijven:</t>
  </si>
  <si>
    <t>2</t>
  </si>
  <si>
    <t>- conserveren</t>
  </si>
  <si>
    <t>- roken</t>
  </si>
  <si>
    <t>- verwerken anderszins: p.o.&gt; 1000 m²</t>
  </si>
  <si>
    <t>- verwerken anderszins: p.o. &lt;= 1000 m²</t>
  </si>
  <si>
    <t>- verwerken anderszins: p.o. &lt;= 300 m²</t>
  </si>
  <si>
    <t>1531</t>
  </si>
  <si>
    <t>1031</t>
  </si>
  <si>
    <t>Aardappelprodukten fabrieken:</t>
  </si>
  <si>
    <t>- vervaardiging van aardappelproducten</t>
  </si>
  <si>
    <t>- vervaardiging van snacks met p.o. &lt; 2.000 m²</t>
  </si>
  <si>
    <t>1532, 1533</t>
  </si>
  <si>
    <t>1032, 1039</t>
  </si>
  <si>
    <t>Groente- en fruitconservenfabrieken:</t>
  </si>
  <si>
    <t>- jam</t>
  </si>
  <si>
    <t>- groente algemeen</t>
  </si>
  <si>
    <t>- met koolsoorten</t>
  </si>
  <si>
    <t>- met drogerijen</t>
  </si>
  <si>
    <t>- met uienconservering (zoutinleggerij)</t>
  </si>
  <si>
    <t>1541</t>
  </si>
  <si>
    <t>104101</t>
  </si>
  <si>
    <t>Vervaardiging van ruwe plantaardige en dierlijke oliën en vetten:</t>
  </si>
  <si>
    <t>- p.c. &lt; 250.000 t/j</t>
  </si>
  <si>
    <t>- p.c. &gt;= 250.000 t/j</t>
  </si>
  <si>
    <t>Z</t>
  </si>
  <si>
    <t>1542</t>
  </si>
  <si>
    <t>104102</t>
  </si>
  <si>
    <t>Raffinage van plantaardige en dierlijke oliën en vetten:</t>
  </si>
  <si>
    <t>1543</t>
  </si>
  <si>
    <t>1042</t>
  </si>
  <si>
    <t>Margarinefabrieken:</t>
  </si>
  <si>
    <t>1551</t>
  </si>
  <si>
    <t>1052</t>
  </si>
  <si>
    <t>Zuivelprodukten fabrieken:</t>
  </si>
  <si>
    <t>1051</t>
  </si>
  <si>
    <t>- melkprodukten fabrieken v.c. &lt; 55.000 t/j</t>
  </si>
  <si>
    <t>- melkprodukten fabrieken v.c. &gt;= 55.000 t/j</t>
  </si>
  <si>
    <t>- overige zuivelprodukten fabrieken</t>
  </si>
  <si>
    <t>1552</t>
  </si>
  <si>
    <t>Consumptie-ijsfabrieken: p.o. &gt; 200 m²</t>
  </si>
  <si>
    <t>- consumptie-ijsfabrieken: p.o. &lt;= 200 m²</t>
  </si>
  <si>
    <t>1561</t>
  </si>
  <si>
    <t>1061</t>
  </si>
  <si>
    <t xml:space="preserve">Meelfabrieken: </t>
  </si>
  <si>
    <t>- p.c. &gt;= 500 t/u</t>
  </si>
  <si>
    <t>- p.c. &lt; 500 t/u</t>
  </si>
  <si>
    <t>Grutterswarenfabrieken</t>
  </si>
  <si>
    <t>1562</t>
  </si>
  <si>
    <t>1062</t>
  </si>
  <si>
    <t>Zetmeelfabrieken:</t>
  </si>
  <si>
    <t>- p.c. &lt; 10 t/u</t>
  </si>
  <si>
    <t>- p.c. &gt;= 10 t/u</t>
  </si>
  <si>
    <t>1571</t>
  </si>
  <si>
    <t>1091</t>
  </si>
  <si>
    <t>Veevoerfabrieken:</t>
  </si>
  <si>
    <t>- drogerijen (gras, pulp, groenvoeder, veevoeder) cap. &lt; 10 t/u water</t>
  </si>
  <si>
    <t>- mengvoeder, p.c. &lt; 100 t/u</t>
  </si>
  <si>
    <t>- mengvoeder, p.c. &gt;= 100 t/u</t>
  </si>
  <si>
    <t>1572</t>
  </si>
  <si>
    <t>1092</t>
  </si>
  <si>
    <t>Vervaardiging van voer voor huisdieren</t>
  </si>
  <si>
    <t>1581</t>
  </si>
  <si>
    <t>1071</t>
  </si>
  <si>
    <t>Broodfabrieken, brood- en banketbakkerijen:</t>
  </si>
  <si>
    <t>- v.c. &lt; 7500 kg meel/week, bij gebruik van charge-ovens</t>
  </si>
  <si>
    <t>- v.c. &gt;= 7500 kg meel/week</t>
  </si>
  <si>
    <t>1582</t>
  </si>
  <si>
    <t>1072</t>
  </si>
  <si>
    <t>Banket, biscuit- en koekfabrieken</t>
  </si>
  <si>
    <t>1583</t>
  </si>
  <si>
    <t>1081</t>
  </si>
  <si>
    <t>Suikerfabrieken:</t>
  </si>
  <si>
    <t>1584</t>
  </si>
  <si>
    <t>10821</t>
  </si>
  <si>
    <t>Verwerking cacaobonen en vervaardiging chocolade- en suikerwerk:</t>
  </si>
  <si>
    <t>- cacao- en chocoladefabrieken vervaardigen van chocoladewerken met p.o. &lt; 2.000 m²</t>
  </si>
  <si>
    <t>- Suikerwerkfabrieken met suiker branden</t>
  </si>
  <si>
    <t>- Suikerwerkfabrieken zonder suiker branden: p.o. &gt; 200 m²</t>
  </si>
  <si>
    <t>1585</t>
  </si>
  <si>
    <t>1073</t>
  </si>
  <si>
    <t>Deegwarenfabrieken</t>
  </si>
  <si>
    <t>1586</t>
  </si>
  <si>
    <t>1083</t>
  </si>
  <si>
    <t>Koffiebranderijen en theepakkerijen:</t>
  </si>
  <si>
    <t>- theepakkerijen</t>
  </si>
  <si>
    <t>1587</t>
  </si>
  <si>
    <t>108401</t>
  </si>
  <si>
    <t>Vervaardiging van azijn, specerijen en kruiden</t>
  </si>
  <si>
    <t>1589</t>
  </si>
  <si>
    <t>1089</t>
  </si>
  <si>
    <t>Vervaardiging van overige voedingsmiddelen</t>
  </si>
  <si>
    <t>1589.1</t>
  </si>
  <si>
    <t>Bakkerijgrondstoffenfabrieken</t>
  </si>
  <si>
    <t>1589.2</t>
  </si>
  <si>
    <t>Soep- en soeparomafabrieken:</t>
  </si>
  <si>
    <t>- zonder poederdrogen</t>
  </si>
  <si>
    <t>- met poederdrogen</t>
  </si>
  <si>
    <t>Bakmeel- en puddingpoederfabrieken</t>
  </si>
  <si>
    <t>1591</t>
  </si>
  <si>
    <t>110101</t>
  </si>
  <si>
    <t>Destilleerderijen en likeurstokerijen</t>
  </si>
  <si>
    <t>1592</t>
  </si>
  <si>
    <t>110102</t>
  </si>
  <si>
    <t>Vervaardiging van ethylalcohol door gisting:</t>
  </si>
  <si>
    <t>- p.c. &lt; 5.000 t/j</t>
  </si>
  <si>
    <t>- p.c. &gt;= 5.000 t/j</t>
  </si>
  <si>
    <t>1596</t>
  </si>
  <si>
    <t>1105</t>
  </si>
  <si>
    <t>Bierbrouwerijen</t>
  </si>
  <si>
    <t>1597</t>
  </si>
  <si>
    <t>1106</t>
  </si>
  <si>
    <t>Mouterijen</t>
  </si>
  <si>
    <t>1598</t>
  </si>
  <si>
    <t>1107</t>
  </si>
  <si>
    <t>Mineraalwater- en frisdrankfabrieken</t>
  </si>
  <si>
    <t>16</t>
  </si>
  <si>
    <t>12</t>
  </si>
  <si>
    <t>VERWERKING VAN TABAK</t>
  </si>
  <si>
    <t>160</t>
  </si>
  <si>
    <t>120</t>
  </si>
  <si>
    <t>Tabakverwerkende industrie</t>
  </si>
  <si>
    <t>17</t>
  </si>
  <si>
    <t>13</t>
  </si>
  <si>
    <t xml:space="preserve"> </t>
  </si>
  <si>
    <t>VERVAARDIGING VAN TEXTIEL</t>
  </si>
  <si>
    <t>171</t>
  </si>
  <si>
    <t>131</t>
  </si>
  <si>
    <t>Bewerken en spinnen van textielvezels</t>
  </si>
  <si>
    <t>172</t>
  </si>
  <si>
    <t>132</t>
  </si>
  <si>
    <t>Weven van textiel:</t>
  </si>
  <si>
    <t>- aantal weefgetouwen &lt; 50</t>
  </si>
  <si>
    <t>- aantal weefgetouwen &gt;= 50</t>
  </si>
  <si>
    <t>173</t>
  </si>
  <si>
    <t>133</t>
  </si>
  <si>
    <t>Textielveredelingsbedrijven</t>
  </si>
  <si>
    <t>174, 175</t>
  </si>
  <si>
    <t>139</t>
  </si>
  <si>
    <t>Vervaardiging van textielwaren</t>
  </si>
  <si>
    <t>1751</t>
  </si>
  <si>
    <t>1393</t>
  </si>
  <si>
    <t>Tapijt-, kokos- en vloermattenfabrieken</t>
  </si>
  <si>
    <t>176, 177</t>
  </si>
  <si>
    <t>139, 143</t>
  </si>
  <si>
    <t>Vervaardiging van gebreide en gehaakte stoffen en artikelen</t>
  </si>
  <si>
    <t>18</t>
  </si>
  <si>
    <t>14</t>
  </si>
  <si>
    <t>VERVAARDIGING VAN KLEDING; BEREIDEN EN VERVEN VAN BONT</t>
  </si>
  <si>
    <t>181</t>
  </si>
  <si>
    <t>141</t>
  </si>
  <si>
    <t>Vervaardiging kleding van leer</t>
  </si>
  <si>
    <t>183</t>
  </si>
  <si>
    <t>142, 151</t>
  </si>
  <si>
    <t>Bereiden en verven van bont; vervaardiging van artikelen van bont</t>
  </si>
  <si>
    <t>19</t>
  </si>
  <si>
    <t>VERVAARDIGING VAN LEER EN LEDERWAREN (EXCL. KLEDING)</t>
  </si>
  <si>
    <t>191</t>
  </si>
  <si>
    <t>151, 152</t>
  </si>
  <si>
    <t>Lederfabrieken</t>
  </si>
  <si>
    <t>192</t>
  </si>
  <si>
    <t>Lederwarenfabrieken (excl. kleding en schoeisel)</t>
  </si>
  <si>
    <t>193</t>
  </si>
  <si>
    <t>Schoenenfabrieken</t>
  </si>
  <si>
    <t>20</t>
  </si>
  <si>
    <t>HOUTINDUSTRIE EN VERVAARDIGING ARTIKELEN VAN HOUT, RIET, KURK E.D.</t>
  </si>
  <si>
    <t>2010.1</t>
  </si>
  <si>
    <t>16101</t>
  </si>
  <si>
    <t>Houtzagerijen</t>
  </si>
  <si>
    <t>2010.2</t>
  </si>
  <si>
    <t>16102</t>
  </si>
  <si>
    <t>Houtconserveringsbedrijven:</t>
  </si>
  <si>
    <t>- met creosootolie</t>
  </si>
  <si>
    <t>- met zoutoplossingen</t>
  </si>
  <si>
    <t>202</t>
  </si>
  <si>
    <t>1621</t>
  </si>
  <si>
    <t>Fineer- en plaatmaterialenfabrieken</t>
  </si>
  <si>
    <t>203, 204, 205</t>
  </si>
  <si>
    <t>162</t>
  </si>
  <si>
    <t>Timmerwerkfabrieken, vervaardiging overige artikelen van hout</t>
  </si>
  <si>
    <t>Timmerwerkfabrieken, vervaardiging overige artikelen van hout, p.o. &lt; 200 m2</t>
  </si>
  <si>
    <t>x</t>
  </si>
  <si>
    <t>21</t>
  </si>
  <si>
    <t>VERVAARDIGING VAN PAPIER, KARTON EN PAPIER- EN KARTONWAREN</t>
  </si>
  <si>
    <t>2111</t>
  </si>
  <si>
    <t>1711</t>
  </si>
  <si>
    <t>Vervaardiging van pulp</t>
  </si>
  <si>
    <t>2112</t>
  </si>
  <si>
    <t>1712</t>
  </si>
  <si>
    <t>Papier- en kartonfabrieken:</t>
  </si>
  <si>
    <t>- p.c. &lt; 3 t/u</t>
  </si>
  <si>
    <t>- p.c. 3 - 15 t/u</t>
  </si>
  <si>
    <t>- p.c. &gt;= 15 t/u</t>
  </si>
  <si>
    <t>212</t>
  </si>
  <si>
    <t>Papier- en kartonwarenfabrieken</t>
  </si>
  <si>
    <t>2121.2</t>
  </si>
  <si>
    <t>17212</t>
  </si>
  <si>
    <t>Golfkartonfabrieken:</t>
  </si>
  <si>
    <t>- p.c. &gt;= 3 t/u</t>
  </si>
  <si>
    <t>22</t>
  </si>
  <si>
    <t>58</t>
  </si>
  <si>
    <t>UITGEVERIJEN, DRUKKERIJEN EN REPRODUKTIE VAN OPGENOMEN MEDIA</t>
  </si>
  <si>
    <t>2221</t>
  </si>
  <si>
    <t>1811</t>
  </si>
  <si>
    <t>Drukkerijen van dagbladen</t>
  </si>
  <si>
    <t>2222</t>
  </si>
  <si>
    <t>1812</t>
  </si>
  <si>
    <t>Drukkerijen (vlak- en rotatie-diepdrukkerijen)</t>
  </si>
  <si>
    <t>23</t>
  </si>
  <si>
    <t>AARDOLIE-/STEENKOOLVERWERK. IND.; BEWERKING SPLIJT-/KWEEKSTOFFEN</t>
  </si>
  <si>
    <t>2320.1</t>
  </si>
  <si>
    <t>19201</t>
  </si>
  <si>
    <t>Aardolieraffinaderijen</t>
  </si>
  <si>
    <t>2320.2</t>
  </si>
  <si>
    <t>19202</t>
  </si>
  <si>
    <t>A</t>
  </si>
  <si>
    <t>Smeeroliën- en vettenfabrieken</t>
  </si>
  <si>
    <t>B</t>
  </si>
  <si>
    <t>Recyclingbedrijven voor afgewerkte olie</t>
  </si>
  <si>
    <t>Aardolieproduktenfabrieken n.e.g.</t>
  </si>
  <si>
    <t>233</t>
  </si>
  <si>
    <t>201, 212, 244</t>
  </si>
  <si>
    <t>Splijt- en kweekstoffenbewerkingsbedrijven</t>
  </si>
  <si>
    <t>24</t>
  </si>
  <si>
    <t>VERVAARDIGING VAN CHEMISCHE PRODUKTEN</t>
  </si>
  <si>
    <t>2411</t>
  </si>
  <si>
    <t>2011</t>
  </si>
  <si>
    <t>Vervaardiging van industriële gassen:</t>
  </si>
  <si>
    <t>2412</t>
  </si>
  <si>
    <t>2012</t>
  </si>
  <si>
    <t>Kleur- en verfstoffenfabrieken</t>
  </si>
  <si>
    <t>2413</t>
  </si>
  <si>
    <t>Anorg. chemische grondstoffenfabrieken:</t>
  </si>
  <si>
    <t>- niet vallend onder "post-Seveso-richtlijn"</t>
  </si>
  <si>
    <t>2414.1</t>
  </si>
  <si>
    <t>20141</t>
  </si>
  <si>
    <t>A0</t>
  </si>
  <si>
    <t>Organ. chemische grondstoffenfabrieken:</t>
  </si>
  <si>
    <t>A1</t>
  </si>
  <si>
    <t>B0</t>
  </si>
  <si>
    <t>Methanolfabrieken:</t>
  </si>
  <si>
    <t>B1</t>
  </si>
  <si>
    <t>- p.c. &lt; 100.000 t/j</t>
  </si>
  <si>
    <t>B2</t>
  </si>
  <si>
    <t>- p.c. &gt;= 100.000 t/j</t>
  </si>
  <si>
    <t>2414.2</t>
  </si>
  <si>
    <t>20149</t>
  </si>
  <si>
    <t>Vetzuren en alkanolenfabrieken (niet synth.):</t>
  </si>
  <si>
    <t>- p.c. &lt; 50.000 t/j</t>
  </si>
  <si>
    <t>242</t>
  </si>
  <si>
    <t>Landbouwchemicaliënfabrieken:</t>
  </si>
  <si>
    <t>243</t>
  </si>
  <si>
    <t>203</t>
  </si>
  <si>
    <t>Verf, lak en vernisfabrieken</t>
  </si>
  <si>
    <t>2441</t>
  </si>
  <si>
    <t>2120</t>
  </si>
  <si>
    <t>Farmaceutische grondstoffenfabrieken:</t>
  </si>
  <si>
    <t>2110</t>
  </si>
  <si>
    <t>- p.c. &lt; 1.000 t/j</t>
  </si>
  <si>
    <t>2442</t>
  </si>
  <si>
    <t>Farmaceutische produktenfabrieken:</t>
  </si>
  <si>
    <t>- formulering en afvullen geneesmiddelen</t>
  </si>
  <si>
    <t>2451</t>
  </si>
  <si>
    <t>2041</t>
  </si>
  <si>
    <t>Zeep-, was- en reinigingsmiddelenfabrieken</t>
  </si>
  <si>
    <t>2452</t>
  </si>
  <si>
    <t>2042</t>
  </si>
  <si>
    <t>Parfumerie- en cosmeticafabrieken</t>
  </si>
  <si>
    <t>2462</t>
  </si>
  <si>
    <t>2052</t>
  </si>
  <si>
    <t>Lijm- en plakmiddelenfabrieken:</t>
  </si>
  <si>
    <t>- zonder dierlijke grondstoffen</t>
  </si>
  <si>
    <t>2464</t>
  </si>
  <si>
    <t>205902</t>
  </si>
  <si>
    <t>Fotochemische produktenfabrieken</t>
  </si>
  <si>
    <t>2466</t>
  </si>
  <si>
    <t>205903</t>
  </si>
  <si>
    <t>Chemische kantoorbenodigdhedenfabrieken</t>
  </si>
  <si>
    <t>Overige chemische produktenfabrieken n.e.g.</t>
  </si>
  <si>
    <t>247</t>
  </si>
  <si>
    <t>2060</t>
  </si>
  <si>
    <t>Kunstmatige synthetische garen- en vezelfabrieken</t>
  </si>
  <si>
    <t>25</t>
  </si>
  <si>
    <t>VERVAARDIGING VAN PRODUKTEN VAN RUBBER EN KUNSTSTOF</t>
  </si>
  <si>
    <t>2511</t>
  </si>
  <si>
    <t>221101</t>
  </si>
  <si>
    <t>Rubberbandenfabrieken</t>
  </si>
  <si>
    <t>2512</t>
  </si>
  <si>
    <t>221102</t>
  </si>
  <si>
    <t>Loopvlakvernieuwingsbedrijven:</t>
  </si>
  <si>
    <t>- vloeropp. &lt; 100 m2</t>
  </si>
  <si>
    <t>- vloeropp. &gt;= 100 m2</t>
  </si>
  <si>
    <t>2513</t>
  </si>
  <si>
    <t>2219</t>
  </si>
  <si>
    <t>Rubber-artikelenfabrieken</t>
  </si>
  <si>
    <t>252</t>
  </si>
  <si>
    <t>222</t>
  </si>
  <si>
    <t>Kunststofverwerkende bedrijven:</t>
  </si>
  <si>
    <t>- zonder fenolharsen</t>
  </si>
  <si>
    <t>- met fenolharsen</t>
  </si>
  <si>
    <t>- productie van verpakkingsmateriaal en assemblage van kunststofbouwmaterialen</t>
  </si>
  <si>
    <t>26</t>
  </si>
  <si>
    <t>VERVAARDIGING VAN GLAS, AARDEWERK, CEMENT-, KALK- EN GIPSPRODUKTEN</t>
  </si>
  <si>
    <t>261</t>
  </si>
  <si>
    <t>231</t>
  </si>
  <si>
    <t>Glasfabrieken:</t>
  </si>
  <si>
    <t>- glas en glasprodukten, p.c. &lt; 5.000 t/j</t>
  </si>
  <si>
    <t>- glas en glasprodukten, p.c. &gt;= 5.000 t/j</t>
  </si>
  <si>
    <t>- glaswol en glasvezels, p.c.&lt; 5.000 t/j</t>
  </si>
  <si>
    <t>2615</t>
  </si>
  <si>
    <t>Glasbewerkingsbedrijven</t>
  </si>
  <si>
    <t>262, 263</t>
  </si>
  <si>
    <t>232, 234</t>
  </si>
  <si>
    <t>Aardewerkfabrieken:</t>
  </si>
  <si>
    <t>- vermogen elektrische ovens totaal &gt;= 40 kW</t>
  </si>
  <si>
    <t>264</t>
  </si>
  <si>
    <t>Baksteen en baksteenelementenfabrieken</t>
  </si>
  <si>
    <t>Dakpannenfabrieken</t>
  </si>
  <si>
    <t>2651</t>
  </si>
  <si>
    <t>2351</t>
  </si>
  <si>
    <t>Cementfabrieken:</t>
  </si>
  <si>
    <t>2652</t>
  </si>
  <si>
    <t>235201</t>
  </si>
  <si>
    <t>Kalkfabrieken:</t>
  </si>
  <si>
    <t>2653</t>
  </si>
  <si>
    <t>235202</t>
  </si>
  <si>
    <t>Gipsfabrieken:</t>
  </si>
  <si>
    <t>2661.1</t>
  </si>
  <si>
    <t>23611</t>
  </si>
  <si>
    <t>Betonwarenfabrieken:</t>
  </si>
  <si>
    <t>- zonder persen, triltafels en bekistingtrille</t>
  </si>
  <si>
    <t>- met persen, triltafels of bekistingtrillers, p.c. &lt; 100 t/d</t>
  </si>
  <si>
    <t>2661.2</t>
  </si>
  <si>
    <t>23612</t>
  </si>
  <si>
    <t>Kalkzandsteenfabrieken:</t>
  </si>
  <si>
    <t>2662</t>
  </si>
  <si>
    <t>2362</t>
  </si>
  <si>
    <t>Mineraalgebonden bouwplatenfabrieken</t>
  </si>
  <si>
    <t>2663, 2664</t>
  </si>
  <si>
    <t>2363, 2364</t>
  </si>
  <si>
    <t>Betonmortelcentrales:</t>
  </si>
  <si>
    <t>- p.c. &lt; 100 t/u</t>
  </si>
  <si>
    <t>- p.c. &gt;= 100 t/u</t>
  </si>
  <si>
    <t>2665, 2666</t>
  </si>
  <si>
    <t>2365, 2369</t>
  </si>
  <si>
    <t>Vervaardiging van produkten van beton, (vezel)cement en gips:</t>
  </si>
  <si>
    <t>- p.c. &lt; 100 t/d</t>
  </si>
  <si>
    <t>- p.c. &gt;= 100 t/d</t>
  </si>
  <si>
    <t>267</t>
  </si>
  <si>
    <t>237</t>
  </si>
  <si>
    <t>Natuursteenbewerkingsbedrijven:</t>
  </si>
  <si>
    <t>- zonder breken, zeven en drogen: p.o. &gt; 2.000 m²</t>
  </si>
  <si>
    <t>- zonder breken, zeven en drogen: p.o. &lt;= 2.000 m²</t>
  </si>
  <si>
    <t>- met breken, zeven of drogen,   v.c. &lt; 100.000 t/j</t>
  </si>
  <si>
    <t>2681</t>
  </si>
  <si>
    <t>2391</t>
  </si>
  <si>
    <t>Slijp- en polijstmiddelen fabrieken</t>
  </si>
  <si>
    <t>2682</t>
  </si>
  <si>
    <t>2399</t>
  </si>
  <si>
    <t>Bitumineuze materialenfabrieken:</t>
  </si>
  <si>
    <t>Isolatiematerialenfabrieken (excl. glaswol):</t>
  </si>
  <si>
    <t>- steenwol, p.c. &gt;= 5.000 t/j</t>
  </si>
  <si>
    <t>- overige isolatiematerialen</t>
  </si>
  <si>
    <t>Minerale produktenfabrieken n.e.g.</t>
  </si>
  <si>
    <t>D0</t>
  </si>
  <si>
    <t>Asfaltcentrales: p.c.&lt; 100 ton/uur</t>
  </si>
  <si>
    <t>D1</t>
  </si>
  <si>
    <t>- asfaltcentrales, p.c. &gt;= 100 ton/uur</t>
  </si>
  <si>
    <t>27</t>
  </si>
  <si>
    <t>VERVAARDIGING VAN METALEN</t>
  </si>
  <si>
    <t>271</t>
  </si>
  <si>
    <t>241</t>
  </si>
  <si>
    <t>Ruwijzer- en staalfabrieken:</t>
  </si>
  <si>
    <t>- p.c. &gt;= 1.000 t/j</t>
  </si>
  <si>
    <t>272</t>
  </si>
  <si>
    <t>IJzeren- en stalenbuizenfabrieken:</t>
  </si>
  <si>
    <t>273</t>
  </si>
  <si>
    <t>Draadtrekkerijen, koudbandwalserijen en profielzetterijen:</t>
  </si>
  <si>
    <t>- p.o. &lt; 2.000 m2</t>
  </si>
  <si>
    <t>274</t>
  </si>
  <si>
    <t>244</t>
  </si>
  <si>
    <t>Non-ferro-metaalfabrieken:</t>
  </si>
  <si>
    <t>Non-ferro-metaalwalserijen, -trekkerijen e.d.:</t>
  </si>
  <si>
    <t>2751, 2752</t>
  </si>
  <si>
    <t>2451, 2452</t>
  </si>
  <si>
    <t>IJzer- en staalgieterijen/ -smelterijen:</t>
  </si>
  <si>
    <t>- p.c. &lt; 4.000 t/j</t>
  </si>
  <si>
    <t>2753, 2754</t>
  </si>
  <si>
    <t>2453, 2454</t>
  </si>
  <si>
    <t>Non-ferro-metaalgieterijen/ -smelterijen:</t>
  </si>
  <si>
    <t>28</t>
  </si>
  <si>
    <t>25, 31</t>
  </si>
  <si>
    <t>VERVAARD. EN REPARATIE VAN PRODUKTEN VAN METAAL (EXCL. MACH./TRANSPORTMIDD.)</t>
  </si>
  <si>
    <t>281</t>
  </si>
  <si>
    <t>251, 331</t>
  </si>
  <si>
    <t>Constructiewerkplaatsen:</t>
  </si>
  <si>
    <t>- gesloten gebouw</t>
  </si>
  <si>
    <t>1a</t>
  </si>
  <si>
    <t>- gesloten gebouw, p.o. &lt; 200 m2</t>
  </si>
  <si>
    <t>- in open lucht, p.o. &lt; 2.000 m2</t>
  </si>
  <si>
    <t>- in open lucht, p.o. &gt;= 2.000 m2</t>
  </si>
  <si>
    <t>2821</t>
  </si>
  <si>
    <t>2529, 3311</t>
  </si>
  <si>
    <t>Tank- en reservoirbouwbedrijven:</t>
  </si>
  <si>
    <t>2822, 2830</t>
  </si>
  <si>
    <t>2521, 2530, 3311</t>
  </si>
  <si>
    <t>Vervaardiging van verwarmingsketels, radiatoren en stoomketels</t>
  </si>
  <si>
    <t>284</t>
  </si>
  <si>
    <t>255, 331</t>
  </si>
  <si>
    <t>Stamp-, pers-, dieptrek- en forceerbedrijven</t>
  </si>
  <si>
    <t>Smederijen, lasinrichtingen, bankwerkerijen e.d.</t>
  </si>
  <si>
    <t>Smederijen, lasinrichtingen, bankwerkerijen e.d., p.o. &lt; 200 m2</t>
  </si>
  <si>
    <t>2851</t>
  </si>
  <si>
    <t>2561, 3311</t>
  </si>
  <si>
    <t>Metaaloppervlaktebehandelingsbedrijven:</t>
  </si>
  <si>
    <t>- algemeen</t>
  </si>
  <si>
    <t>10</t>
  </si>
  <si>
    <t>- stralen</t>
  </si>
  <si>
    <t>11</t>
  </si>
  <si>
    <t>- metaalharden</t>
  </si>
  <si>
    <t>- lakspuiten en moffelen</t>
  </si>
  <si>
    <t>- scoperen (opspuiten van zink)</t>
  </si>
  <si>
    <t>- thermisch verzinken</t>
  </si>
  <si>
    <t>- thermisch vertinnen</t>
  </si>
  <si>
    <t>- mechanische oppervlaktebehandeling (slijpen, polijsten)</t>
  </si>
  <si>
    <t>2561,3311</t>
  </si>
  <si>
    <t>- anodiseren, eloxeren</t>
  </si>
  <si>
    <t>- chemische oppervlaktebehandeling</t>
  </si>
  <si>
    <t>- emailleren</t>
  </si>
  <si>
    <t>9</t>
  </si>
  <si>
    <t>- galvaniseren (vernikkelen, verchromen, verzinken, verkoperen ed)</t>
  </si>
  <si>
    <t>2852</t>
  </si>
  <si>
    <t>2562, 3311</t>
  </si>
  <si>
    <t>Overige metaalbewerkende industrie</t>
  </si>
  <si>
    <t>Overige metaalbewerkende industrie, inpandig, p.o. &lt;200m2</t>
  </si>
  <si>
    <t>287</t>
  </si>
  <si>
    <t>259, 331</t>
  </si>
  <si>
    <t>Grofsmederijen, anker- en kettingfabrieken:</t>
  </si>
  <si>
    <t>Overige metaalwarenfabrieken n.e.g.</t>
  </si>
  <si>
    <t xml:space="preserve">Overige metaalwarenfabrieken n.e.g.; inpandig, p.o. &lt;200 m2 </t>
  </si>
  <si>
    <t>29</t>
  </si>
  <si>
    <t>27, 28, 33</t>
  </si>
  <si>
    <t>VERVAARDIGING VAN MACHINES EN APPARATEN</t>
  </si>
  <si>
    <t>Machine- en apparatenfabrieken incl. reparatie:</t>
  </si>
  <si>
    <t>- p.o. &gt;= 2.000 m2</t>
  </si>
  <si>
    <t>28, 33</t>
  </si>
  <si>
    <t>- met proefdraaien verbrandingsmotoren &gt;= 1 MW</t>
  </si>
  <si>
    <t>30</t>
  </si>
  <si>
    <t>26, 28, 33</t>
  </si>
  <si>
    <t>VERVAARDIGING VAN KANTOORMACHINES EN COMPUTERS</t>
  </si>
  <si>
    <t>Kantoormachines- en computerfabrieken incl. reparatie</t>
  </si>
  <si>
    <t>31</t>
  </si>
  <si>
    <t>26, 27, 33</t>
  </si>
  <si>
    <t>VERVAARDIGING VAN OVER. ELEKTR. MACHINES, APPARATEN EN BENODIGDH.</t>
  </si>
  <si>
    <t>311</t>
  </si>
  <si>
    <t>271, 331</t>
  </si>
  <si>
    <t>Elektromotoren- en generatorenfabrieken incl. reparatie</t>
  </si>
  <si>
    <t>312</t>
  </si>
  <si>
    <t>271, 273</t>
  </si>
  <si>
    <t>Schakel- en installatiemateriaalfabrieken</t>
  </si>
  <si>
    <t>313</t>
  </si>
  <si>
    <t>Elektrische draad- en kabelfabrieken</t>
  </si>
  <si>
    <t>314</t>
  </si>
  <si>
    <t>Accumulatoren- en batterijenfabrieken</t>
  </si>
  <si>
    <t>315</t>
  </si>
  <si>
    <t>Lampenfabrieken</t>
  </si>
  <si>
    <t>3162</t>
  </si>
  <si>
    <t>2790</t>
  </si>
  <si>
    <t>Koolelektrodenfabrieken</t>
  </si>
  <si>
    <t>32</t>
  </si>
  <si>
    <t>26,33</t>
  </si>
  <si>
    <t>26, 33</t>
  </si>
  <si>
    <t>VERVAARDIGING VAN AUDIO-, VIDEO-, TELECOM-APPARATEN EN -BENODIGDH.</t>
  </si>
  <si>
    <t>321 t/m 323</t>
  </si>
  <si>
    <t>261, 263, 264, 331</t>
  </si>
  <si>
    <t>Vervaardiging van audio-, video- en telecom-apparatuur e.d.</t>
  </si>
  <si>
    <t>3210</t>
  </si>
  <si>
    <t>2612</t>
  </si>
  <si>
    <t>Fabrieken voor gedrukte bedrading</t>
  </si>
  <si>
    <t>33</t>
  </si>
  <si>
    <t>26, 32, 33</t>
  </si>
  <si>
    <t>VERVAARDIGING VAN MEDISCHE EN OPTISCHE APPARATEN EN INSTRUMENTEN</t>
  </si>
  <si>
    <t>Fabrieken voor medische en optische apparaten en instrumenten e.d. incl. reparatie</t>
  </si>
  <si>
    <t>34</t>
  </si>
  <si>
    <t>VERVAARDIGING VAN AUTO'S, AANHANGWAGENS EN OPLEGGERS</t>
  </si>
  <si>
    <t>341</t>
  </si>
  <si>
    <t>291</t>
  </si>
  <si>
    <t>Autofabrieken en assemblagebedrijven</t>
  </si>
  <si>
    <t>- p.o. &lt; 10.000 m2</t>
  </si>
  <si>
    <t>- p.o. &gt;= 10.000 m2</t>
  </si>
  <si>
    <t>3420.1</t>
  </si>
  <si>
    <t>29201</t>
  </si>
  <si>
    <t>Carrosseriefabrieken</t>
  </si>
  <si>
    <t>3420.2</t>
  </si>
  <si>
    <t>29202</t>
  </si>
  <si>
    <t>Aanhangwagen- en opleggerfabrieken</t>
  </si>
  <si>
    <t>343</t>
  </si>
  <si>
    <t>293</t>
  </si>
  <si>
    <t>Auto-onderdelenfabrieken</t>
  </si>
  <si>
    <t>35</t>
  </si>
  <si>
    <t>VERVAARDIGING VAN TRANSPORTMIDDELEN (EXCL. AUTO'S, AANHANGWAGENS)</t>
  </si>
  <si>
    <t>351</t>
  </si>
  <si>
    <t>301, 3315</t>
  </si>
  <si>
    <t>Scheepsbouw- en reparatiebedrijven:</t>
  </si>
  <si>
    <t>- houten schepen</t>
  </si>
  <si>
    <t>- kunststof schepen</t>
  </si>
  <si>
    <t>- metalen schepen &lt; 25 m</t>
  </si>
  <si>
    <t>352</t>
  </si>
  <si>
    <t>302, 317</t>
  </si>
  <si>
    <t>Wagonbouw- en spoorwegwerkplaatsen:</t>
  </si>
  <si>
    <t>- met proefdraaien van verbrandingsmotoren &gt;= 1 MW</t>
  </si>
  <si>
    <t>353</t>
  </si>
  <si>
    <t>303,3316</t>
  </si>
  <si>
    <t>Vliegtuigbouw en -reparatiebedrijven:</t>
  </si>
  <si>
    <t>303, 3316</t>
  </si>
  <si>
    <t>- zonder proefdraaien motoren</t>
  </si>
  <si>
    <t>354</t>
  </si>
  <si>
    <t>309</t>
  </si>
  <si>
    <t>Rijwiel- en motorrijwielfabrieken</t>
  </si>
  <si>
    <t>355</t>
  </si>
  <si>
    <t>3099</t>
  </si>
  <si>
    <t>Transportmiddelenindustrie n.e.g.</t>
  </si>
  <si>
    <t>36</t>
  </si>
  <si>
    <t>VERVAARDIGING VAN MEUBELS EN OVERIGE GOEDEREN N.E.G.</t>
  </si>
  <si>
    <t>361</t>
  </si>
  <si>
    <t>310</t>
  </si>
  <si>
    <t>Meubelfabrieken</t>
  </si>
  <si>
    <t>9524</t>
  </si>
  <si>
    <t>Meubelstoffeerderijen b.o. &lt; 200 m2</t>
  </si>
  <si>
    <t>362</t>
  </si>
  <si>
    <t>321</t>
  </si>
  <si>
    <t>Fabricage van munten, sieraden e.d.</t>
  </si>
  <si>
    <t>363</t>
  </si>
  <si>
    <t>322</t>
  </si>
  <si>
    <t>Muziekinstrumentenfabrieken</t>
  </si>
  <si>
    <t>364</t>
  </si>
  <si>
    <t>323</t>
  </si>
  <si>
    <t>Sportartikelenfabrieken</t>
  </si>
  <si>
    <t>365</t>
  </si>
  <si>
    <t>324</t>
  </si>
  <si>
    <t>Speelgoedartikelenfabrieken</t>
  </si>
  <si>
    <t>3663.1</t>
  </si>
  <si>
    <t>32991</t>
  </si>
  <si>
    <t>Sociale werkvoorziening</t>
  </si>
  <si>
    <t>P</t>
  </si>
  <si>
    <t>3663.2</t>
  </si>
  <si>
    <t>32999</t>
  </si>
  <si>
    <t>Vervaardiging van overige goederen n.e.g.</t>
  </si>
  <si>
    <t>37</t>
  </si>
  <si>
    <t>38</t>
  </si>
  <si>
    <t>VOORBEREIDING TOT RECYCLING</t>
  </si>
  <si>
    <t>372</t>
  </si>
  <si>
    <t>383202</t>
  </si>
  <si>
    <t>Puinbrekerijen en -malerijen:</t>
  </si>
  <si>
    <t>- v.c. &lt; 100.000 t/j</t>
  </si>
  <si>
    <t>Rubberregeneratiebedrijven</t>
  </si>
  <si>
    <t>Afvalscheidingsinstallaties</t>
  </si>
  <si>
    <t>40</t>
  </si>
  <si>
    <t>PRODUKTIE EN DISTRIB. VAN STROOM, AARDGAS, STOOM EN WARM WATER</t>
  </si>
  <si>
    <t>Elektriciteitsproduktiebedrijven (electrisch vermogen &gt;= 50 MWe)</t>
  </si>
  <si>
    <t>A4</t>
  </si>
  <si>
    <t>- kerncentrales met koeltorens</t>
  </si>
  <si>
    <t>bio-energieinstallaties electrisch vermogen &lt; 50 MWe:</t>
  </si>
  <si>
    <t>- covergisting, verbranding en vergassing van mest, slib, GFT en reststromen voedingsindustrie</t>
  </si>
  <si>
    <t>3.2</t>
  </si>
  <si>
    <t>- vergisting, verbranding en vergassing van overige biomassa</t>
  </si>
  <si>
    <t>C0</t>
  </si>
  <si>
    <t>Elektriciteitsdistributiebedrijven, met transformatorvermogen:</t>
  </si>
  <si>
    <t>C1</t>
  </si>
  <si>
    <t>- &lt; 10 MVA</t>
  </si>
  <si>
    <t>C2</t>
  </si>
  <si>
    <t>- 10 - 100 MVA</t>
  </si>
  <si>
    <t>C3</t>
  </si>
  <si>
    <t>- 100 - 200 MVA</t>
  </si>
  <si>
    <t>C4</t>
  </si>
  <si>
    <t>- 200 - 1000 MVA</t>
  </si>
  <si>
    <t>Gasdistributiebedrijven:</t>
  </si>
  <si>
    <t>- gascompressorstations vermogen &lt; 100 MW</t>
  </si>
  <si>
    <t>D5</t>
  </si>
  <si>
    <t>- gasontvang- en -verdeelstations, cat. D</t>
  </si>
  <si>
    <t>E0</t>
  </si>
  <si>
    <t>Warmtevoorzieningsinstallaties, gasgestookt:</t>
  </si>
  <si>
    <t>E1</t>
  </si>
  <si>
    <t>- stadsverwarming</t>
  </si>
  <si>
    <t>41</t>
  </si>
  <si>
    <t>WINNING EN DITRIBUTIE VAN WATER</t>
  </si>
  <si>
    <t>Waterwinning-/ bereiding- bedrijven:</t>
  </si>
  <si>
    <t>A2</t>
  </si>
  <si>
    <t>- bereiding met chloorbleekloog e.d. en/of straling</t>
  </si>
  <si>
    <t>Waterdistributiebedrijven met pompvermogen:</t>
  </si>
  <si>
    <t>- &lt; 1 MW</t>
  </si>
  <si>
    <t>- 1 - 15 MW</t>
  </si>
  <si>
    <t>B3</t>
  </si>
  <si>
    <t>- &gt;= 15 MW</t>
  </si>
  <si>
    <t>45</t>
  </si>
  <si>
    <t>41, 42, 43</t>
  </si>
  <si>
    <t>BOUWNIJVERHEID</t>
  </si>
  <si>
    <t>Bouwbedrijven algemeen: b.o. &gt; 2.000 m²</t>
  </si>
  <si>
    <t>- bouwbedrijven algemeen: b.o. &lt;= 2.000 m²</t>
  </si>
  <si>
    <t>Aannemersbedrijven met werkplaats: b.o. &gt; 1000 m²</t>
  </si>
  <si>
    <t>- aannemersbedrijven met werkplaats: b.o.&lt; 1000 m²</t>
  </si>
  <si>
    <t>50</t>
  </si>
  <si>
    <t>45, 47</t>
  </si>
  <si>
    <t>HANDEL/REPARATIE VAN AUTO'S, MOTORFIETSEN; BENZINESERVICESTATIONS</t>
  </si>
  <si>
    <t>501</t>
  </si>
  <si>
    <t>451</t>
  </si>
  <si>
    <t>Groothandel in vrachtauto's (incl. import)</t>
  </si>
  <si>
    <t>5020.4</t>
  </si>
  <si>
    <t>45204</t>
  </si>
  <si>
    <t>Autoplaatwerkerijen</t>
  </si>
  <si>
    <t>Autospuitinrichtingen</t>
  </si>
  <si>
    <t>51</t>
  </si>
  <si>
    <t>46</t>
  </si>
  <si>
    <t>GROOTHANDEL EN HANDELSBEMIDDELING</t>
  </si>
  <si>
    <t>5121</t>
  </si>
  <si>
    <t>4621</t>
  </si>
  <si>
    <t>Grth in akkerbouwprodukten en veevoeders</t>
  </si>
  <si>
    <t>Grth in akkerbouwprodukten en veevoeders met een verwerkingscapaciteit van 500 ton/uur of meer</t>
  </si>
  <si>
    <t>5122</t>
  </si>
  <si>
    <t>4622</t>
  </si>
  <si>
    <t>Grth in bloemen en planten</t>
  </si>
  <si>
    <t>5123</t>
  </si>
  <si>
    <t>4623</t>
  </si>
  <si>
    <t>Grth in levende dieren</t>
  </si>
  <si>
    <t>5124</t>
  </si>
  <si>
    <t>4624</t>
  </si>
  <si>
    <t>Grth in huiden, vellen en leder</t>
  </si>
  <si>
    <t>5125, 5131</t>
  </si>
  <si>
    <t>46217, 4631</t>
  </si>
  <si>
    <t>Grth in ruwe tabak, groenten, fruit en consumptie-aardappelen</t>
  </si>
  <si>
    <t>5132, 5133</t>
  </si>
  <si>
    <t>4632, 4633</t>
  </si>
  <si>
    <t>Grth in vlees, vleeswaren, zuivelprodukten, eieren, spijsoliën</t>
  </si>
  <si>
    <t>5134</t>
  </si>
  <si>
    <t>4634</t>
  </si>
  <si>
    <t>Grth in dranken</t>
  </si>
  <si>
    <t>5135</t>
  </si>
  <si>
    <t>4635</t>
  </si>
  <si>
    <t>Grth in tabaksprodukten</t>
  </si>
  <si>
    <t>5136</t>
  </si>
  <si>
    <t>4636</t>
  </si>
  <si>
    <t>Grth in suiker, chocolade en suikerwerk</t>
  </si>
  <si>
    <t>5137</t>
  </si>
  <si>
    <t>4637</t>
  </si>
  <si>
    <t>Grth in koffie, thee, cacao en specerijen</t>
  </si>
  <si>
    <t>5138, 5139</t>
  </si>
  <si>
    <t>4638, 4639</t>
  </si>
  <si>
    <t>Grth in overige voedings- en genotmiddelen</t>
  </si>
  <si>
    <t>514</t>
  </si>
  <si>
    <t>464, 46733</t>
  </si>
  <si>
    <t>Grth in overige consumentenartikelen</t>
  </si>
  <si>
    <t>5148.7</t>
  </si>
  <si>
    <t>46499</t>
  </si>
  <si>
    <t>Grth in vuurwerk en munitie:</t>
  </si>
  <si>
    <t>- consumentenvuurwerk, verpakt, opslag &lt; 10 ton</t>
  </si>
  <si>
    <t>V</t>
  </si>
  <si>
    <t>- consumentenvuurwerk, verpakt, opslag 10 tot 50 ton</t>
  </si>
  <si>
    <t>- munitie</t>
  </si>
  <si>
    <t>5151.1</t>
  </si>
  <si>
    <t>46711</t>
  </si>
  <si>
    <t>Grth in vaste brandstoffen:</t>
  </si>
  <si>
    <t>- klein, lokaal verzorgingsgebied</t>
  </si>
  <si>
    <t>5151.2</t>
  </si>
  <si>
    <t>46712</t>
  </si>
  <si>
    <t>Grth in vloeibare en gasvormige brandstoffen:</t>
  </si>
  <si>
    <t>- vloeistoffen, o.c. &lt; 100.000 m3</t>
  </si>
  <si>
    <t>- tot vloeistof verdichte gassen</t>
  </si>
  <si>
    <t>5151.3</t>
  </si>
  <si>
    <t>46713</t>
  </si>
  <si>
    <t>Grth minerale olieprodukten (excl. brandstoffen)</t>
  </si>
  <si>
    <t>5152.1</t>
  </si>
  <si>
    <t>46721</t>
  </si>
  <si>
    <t>Grth in metaalertsen:</t>
  </si>
  <si>
    <t>- opslag opp. &lt; 2.000 m2</t>
  </si>
  <si>
    <t>5152.2 /.3</t>
  </si>
  <si>
    <t>46722, 46723</t>
  </si>
  <si>
    <t>Grth in metalen en -halffabrikaten</t>
  </si>
  <si>
    <t>5153</t>
  </si>
  <si>
    <t>4673</t>
  </si>
  <si>
    <t>Grth in hout en bouwmaterialen:</t>
  </si>
  <si>
    <t>- algemeen: b.o. &gt; 2000 m²</t>
  </si>
  <si>
    <t>- algemeen: b.o. &lt;= 2000 m²</t>
  </si>
  <si>
    <t>5153.4</t>
  </si>
  <si>
    <t>46735</t>
  </si>
  <si>
    <t>zand en grind:</t>
  </si>
  <si>
    <t>- algemeen: b.o. &gt; 200 m²</t>
  </si>
  <si>
    <t xml:space="preserve">- algemeen: b.o. &lt;= 200 m² </t>
  </si>
  <si>
    <t>5154</t>
  </si>
  <si>
    <t>4674</t>
  </si>
  <si>
    <t>Grth in ijzer- en metaalwaren en verwarmingsapparatuur:</t>
  </si>
  <si>
    <t>- algemeen: b.o. &gt; 2.000 m²</t>
  </si>
  <si>
    <t>- algemeen: b.o. &lt; = 2.000 m²</t>
  </si>
  <si>
    <t>5155.1</t>
  </si>
  <si>
    <t>46751</t>
  </si>
  <si>
    <t>Grth in chemische produkten</t>
  </si>
  <si>
    <t>5155.2</t>
  </si>
  <si>
    <t>46752</t>
  </si>
  <si>
    <t>Grth in kunstmeststoffen</t>
  </si>
  <si>
    <t>5156</t>
  </si>
  <si>
    <t>4676</t>
  </si>
  <si>
    <t>Grth in overige intermediaire goederen</t>
  </si>
  <si>
    <t>5157</t>
  </si>
  <si>
    <t>4677</t>
  </si>
  <si>
    <t>Autosloperijen: b.o. &gt; 1000 m²</t>
  </si>
  <si>
    <t>- autosloperijen: b.o. &lt;= 1000 m²</t>
  </si>
  <si>
    <t>5157.2/3</t>
  </si>
  <si>
    <t>Overige groothandel in afval en schroot: b.o. &gt; 1000 m²</t>
  </si>
  <si>
    <t>- overige groothandel in afval en schroot: b.o. &lt;= 1000 m²</t>
  </si>
  <si>
    <t>518</t>
  </si>
  <si>
    <t>466</t>
  </si>
  <si>
    <t>Grth in machines en apparaten:</t>
  </si>
  <si>
    <t>- machines voor de bouwnijverheid</t>
  </si>
  <si>
    <t>- overige</t>
  </si>
  <si>
    <t>519</t>
  </si>
  <si>
    <t>466, 469</t>
  </si>
  <si>
    <t>Overige grth (bedrijfsmeubels, emballage, vakbenodigdheden e.d.</t>
  </si>
  <si>
    <t>60</t>
  </si>
  <si>
    <t>47</t>
  </si>
  <si>
    <t>49</t>
  </si>
  <si>
    <t>VERVOER OVER LAND</t>
  </si>
  <si>
    <t>6021.1</t>
  </si>
  <si>
    <t>493</t>
  </si>
  <si>
    <t>Bus-, tram- en metrostations en -remises</t>
  </si>
  <si>
    <t>6023</t>
  </si>
  <si>
    <t>Touringcarbedrijven</t>
  </si>
  <si>
    <t>6024</t>
  </si>
  <si>
    <t>494</t>
  </si>
  <si>
    <t>Goederenwegvervoerbedrijven (zonder schoonmaken tanks): b.o. &gt; 1000 m²</t>
  </si>
  <si>
    <t>- Goederenwegvervoerbedrijven (zonder schoonmaken tanks) b.o. &lt;= 1000 m²</t>
  </si>
  <si>
    <t>603</t>
  </si>
  <si>
    <t>495</t>
  </si>
  <si>
    <t>Pomp- en compressorstations van pijpleidingen</t>
  </si>
  <si>
    <t>63</t>
  </si>
  <si>
    <t>52</t>
  </si>
  <si>
    <t>DIENSTVERLENING T.B.V. HET VERVOER</t>
  </si>
  <si>
    <t>6311.1</t>
  </si>
  <si>
    <t>52241</t>
  </si>
  <si>
    <t>Laad-, los- en overslagbedrijven t.b.v. zeeschepen:</t>
  </si>
  <si>
    <t>- stukgoederen</t>
  </si>
  <si>
    <t>- tankercleaning</t>
  </si>
  <si>
    <t>6311.2</t>
  </si>
  <si>
    <t>52242</t>
  </si>
  <si>
    <t>Laad-, los- en overslagbedrijven t.b.v. binnenvaart:</t>
  </si>
  <si>
    <t>- containers</t>
  </si>
  <si>
    <t>- ertsen, mineralen, e.d., opslagopp. &lt; 2.000 m²</t>
  </si>
  <si>
    <t>- granen of meelsoorten , v.c. &lt; 500 t/u</t>
  </si>
  <si>
    <t>- steenkool, opslagopp. &lt; 2.000 m2</t>
  </si>
  <si>
    <t>6312</t>
  </si>
  <si>
    <t>52102, 52109</t>
  </si>
  <si>
    <t>Distributiecentra, koelhuizen</t>
  </si>
  <si>
    <t>52109</t>
  </si>
  <si>
    <t>Opslaggebouwen (verhuur opslagruimte)</t>
  </si>
  <si>
    <t>6321</t>
  </si>
  <si>
    <t>5221</t>
  </si>
  <si>
    <t>Stalling van vrachtwagens (met koelinstallaties)</t>
  </si>
  <si>
    <t>64</t>
  </si>
  <si>
    <t>53</t>
  </si>
  <si>
    <t>POST EN TELECOMMUNICATIE</t>
  </si>
  <si>
    <t>641</t>
  </si>
  <si>
    <t>531, 532</t>
  </si>
  <si>
    <t>Post- en koeriersdiensten</t>
  </si>
  <si>
    <t>642</t>
  </si>
  <si>
    <t>61</t>
  </si>
  <si>
    <t>Telecommunicatiebedrijven</t>
  </si>
  <si>
    <t>71</t>
  </si>
  <si>
    <t>77</t>
  </si>
  <si>
    <t>VERHUUR VAN TRANSPORTMIDDELEN, MACHINES, ANDERE ROERENDE GOEDEREN</t>
  </si>
  <si>
    <t>712</t>
  </si>
  <si>
    <t>7712, 7739</t>
  </si>
  <si>
    <t>Verhuurbedrijven voor transportmiddelen (excl. personenauto's)</t>
  </si>
  <si>
    <t>713</t>
  </si>
  <si>
    <t>773</t>
  </si>
  <si>
    <t>Verhuurbedrijven voor machines en werktuigen</t>
  </si>
  <si>
    <t>714</t>
  </si>
  <si>
    <t>772</t>
  </si>
  <si>
    <t>Verhuurbedrijven voor roerende goederen n.e.g.</t>
  </si>
  <si>
    <t>72</t>
  </si>
  <si>
    <t>62</t>
  </si>
  <si>
    <t>COMPUTERSERVICE- EN INFORMATIETECHNOLOGIE</t>
  </si>
  <si>
    <t>58, 63</t>
  </si>
  <si>
    <t>Datacentra</t>
  </si>
  <si>
    <t>74</t>
  </si>
  <si>
    <t>63, 69tm71, 73,74,77,78, 80tm82</t>
  </si>
  <si>
    <t>OVERIGE ZAKELIJKE DIENSTVERLENING</t>
  </si>
  <si>
    <t>747</t>
  </si>
  <si>
    <t>812</t>
  </si>
  <si>
    <t>Reinigingsbedrijven voor gebouwen</t>
  </si>
  <si>
    <t>7481.3</t>
  </si>
  <si>
    <t>74203</t>
  </si>
  <si>
    <t>Foto- en filmontwikkelcentrales</t>
  </si>
  <si>
    <t>7484.3</t>
  </si>
  <si>
    <t>82991</t>
  </si>
  <si>
    <t>Veilingen voor landbouw- en visserijprodukten</t>
  </si>
  <si>
    <t>90</t>
  </si>
  <si>
    <t>37, 38, 39</t>
  </si>
  <si>
    <t>MILIEUDIENSTVERLENING</t>
  </si>
  <si>
    <t>9001</t>
  </si>
  <si>
    <t>3700</t>
  </si>
  <si>
    <t>RWZI's en gierverwerkingsinricht., met afdekking voorbezinktanks:</t>
  </si>
  <si>
    <t>- &lt; 100.000 i.e.</t>
  </si>
  <si>
    <t>- 100.000 - 300.000 i.e.</t>
  </si>
  <si>
    <t>rioolgemalen</t>
  </si>
  <si>
    <t>9002.1</t>
  </si>
  <si>
    <t>381</t>
  </si>
  <si>
    <t>Vuilophaal-, straatreinigingsbedrijven e.d.</t>
  </si>
  <si>
    <t>Gemeentewerven (afval-inzameldepots)</t>
  </si>
  <si>
    <t>Vuiloverslagstations</t>
  </si>
  <si>
    <t>9002.2</t>
  </si>
  <si>
    <t>382</t>
  </si>
  <si>
    <t>Afvalverwerkingsbedrijven:</t>
  </si>
  <si>
    <t>- kabelbranderijen</t>
  </si>
  <si>
    <t>A3</t>
  </si>
  <si>
    <t>- verwerking radio-actief afval</t>
  </si>
  <si>
    <t>- pathogeen afvalverbranding (voor ziekenhuizen)</t>
  </si>
  <si>
    <t>A5</t>
  </si>
  <si>
    <t>- oplosmiddelterugwinning</t>
  </si>
  <si>
    <t>A6</t>
  </si>
  <si>
    <t>- afvalverbrandingsinrichtingen, thermisch vermogen &gt; 75 MW</t>
  </si>
  <si>
    <t>A7</t>
  </si>
  <si>
    <t>- verwerking fotochemisch en galvano-afval</t>
  </si>
  <si>
    <t>Vuilstortplaatsen</t>
  </si>
  <si>
    <t>Composteerbedrijven:</t>
  </si>
  <si>
    <t>- belucht v.c. &lt; 20.000 ton/jr</t>
  </si>
  <si>
    <t>- belucht v.c. &gt; 20.000 ton/jr</t>
  </si>
  <si>
    <t>C5</t>
  </si>
  <si>
    <t>- GFT in gesloten gebouw</t>
  </si>
  <si>
    <t>93</t>
  </si>
  <si>
    <t>96</t>
  </si>
  <si>
    <t>OVERIGE DIENSTVERLENING</t>
  </si>
  <si>
    <t>9301.1</t>
  </si>
  <si>
    <t>96011</t>
  </si>
  <si>
    <t>Wasserijen en strijkinrichtingen</t>
  </si>
  <si>
    <t>Tapijtreinigingsbedrijven</t>
  </si>
  <si>
    <t>9301.2</t>
  </si>
  <si>
    <t>96012</t>
  </si>
  <si>
    <t>Chemische wasserijen en ververijen</t>
  </si>
  <si>
    <t>9301.3</t>
  </si>
  <si>
    <t>96013</t>
  </si>
  <si>
    <t>Wasverzendinrichtingen</t>
  </si>
  <si>
    <t>afstabnd</t>
  </si>
  <si>
    <t>code</t>
  </si>
  <si>
    <t>3.1</t>
  </si>
  <si>
    <t>4.1</t>
  </si>
  <si>
    <t>4.2</t>
  </si>
  <si>
    <t>5.1</t>
  </si>
  <si>
    <t>5.2</t>
  </si>
  <si>
    <t>5.3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</si>
</sst>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Arial"/>
    </font>
    <font>
      <sz val="8"/>
      <name val="Arial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1" xfId="0" applyFont="1" applyFill="1" applyBorder="1" applyAlignment="1">
      <alignment horizontal="center"/>
    </xf>
    <xf numFmtId="49" fontId="1" fillId="0" borderId="1" xfId="0" applyNumberFormat="1" applyFont="1" applyFill="1" applyBorder="1"/>
    <xf numFmtId="0" fontId="1" fillId="0" borderId="1" xfId="0" applyFont="1" applyFill="1" applyBorder="1"/>
    <xf numFmtId="49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49" fontId="1" fillId="0" borderId="2" xfId="0" applyNumberFormat="1" applyFont="1" applyFill="1" applyBorder="1" applyAlignment="1">
      <alignment wrapText="1"/>
    </xf>
    <xf numFmtId="0" fontId="1" fillId="0" borderId="3" xfId="0" applyFont="1" applyFill="1" applyBorder="1"/>
    <xf numFmtId="0" fontId="1" fillId="0" borderId="4" xfId="0" applyFont="1" applyFill="1" applyBorder="1" applyAlignment="1">
      <alignment horizontal="center"/>
    </xf>
    <xf numFmtId="0" fontId="1" fillId="0" borderId="5" xfId="0" applyFont="1" applyFill="1" applyBorder="1"/>
    <xf numFmtId="0" fontId="1" fillId="0" borderId="6" xfId="0" applyFont="1" applyFill="1" applyBorder="1" applyAlignment="1">
      <alignment horizontal="center"/>
    </xf>
    <xf numFmtId="0" fontId="1" fillId="0" borderId="7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right"/>
    </xf>
    <xf numFmtId="0" fontId="1" fillId="0" borderId="5" xfId="0" applyFont="1" applyFill="1" applyBorder="1" applyAlignment="1">
      <alignment horizontal="center"/>
    </xf>
    <xf numFmtId="49" fontId="1" fillId="0" borderId="5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left"/>
    </xf>
    <xf numFmtId="49" fontId="1" fillId="0" borderId="5" xfId="0" applyNumberFormat="1" applyFont="1" applyFill="1" applyBorder="1"/>
    <xf numFmtId="0" fontId="1" fillId="0" borderId="6" xfId="0" applyFont="1" applyFill="1" applyBorder="1" applyAlignment="1">
      <alignment horizontal="left"/>
    </xf>
    <xf numFmtId="0" fontId="1" fillId="0" borderId="3" xfId="0" applyFont="1" applyFill="1" applyBorder="1" applyAlignment="1">
      <alignment horizontal="center"/>
    </xf>
    <xf numFmtId="1" fontId="1" fillId="0" borderId="3" xfId="0" applyNumberFormat="1" applyFont="1" applyFill="1" applyBorder="1" applyAlignment="1">
      <alignment horizontal="right"/>
    </xf>
    <xf numFmtId="1" fontId="1" fillId="0" borderId="1" xfId="0" applyNumberFormat="1" applyFont="1" applyFill="1" applyBorder="1" applyAlignment="1">
      <alignment horizontal="right"/>
    </xf>
    <xf numFmtId="1" fontId="1" fillId="0" borderId="5" xfId="0" applyNumberFormat="1" applyFont="1" applyFill="1" applyBorder="1" applyAlignment="1">
      <alignment horizontal="right"/>
    </xf>
    <xf numFmtId="1" fontId="1" fillId="0" borderId="6" xfId="0" applyNumberFormat="1" applyFont="1" applyFill="1" applyBorder="1" applyAlignment="1">
      <alignment horizontal="center"/>
    </xf>
    <xf numFmtId="1" fontId="1" fillId="0" borderId="4" xfId="0" applyNumberFormat="1" applyFon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/>
    </xf>
    <xf numFmtId="0" fontId="1" fillId="0" borderId="3" xfId="0" applyFont="1" applyFill="1" applyBorder="1" applyAlignment="1">
      <alignment horizontal="right"/>
    </xf>
    <xf numFmtId="0" fontId="1" fillId="0" borderId="1" xfId="0" applyFont="1" applyFill="1" applyBorder="1" applyAlignment="1">
      <alignment horizontal="right"/>
    </xf>
    <xf numFmtId="0" fontId="1" fillId="0" borderId="5" xfId="0" applyFont="1" applyFill="1" applyBorder="1" applyAlignment="1">
      <alignment horizontal="right"/>
    </xf>
    <xf numFmtId="0" fontId="2" fillId="0" borderId="1" xfId="0" applyFont="1" applyFill="1" applyBorder="1"/>
    <xf numFmtId="0" fontId="2" fillId="0" borderId="6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0" fontId="2" fillId="0" borderId="3" xfId="0" applyFont="1" applyFill="1" applyBorder="1"/>
    <xf numFmtId="0" fontId="2" fillId="0" borderId="1" xfId="0" applyFont="1" applyFill="1" applyBorder="1" applyAlignment="1">
      <alignment horizontal="center"/>
    </xf>
    <xf numFmtId="0" fontId="2" fillId="0" borderId="5" xfId="0" applyFont="1" applyFill="1" applyBorder="1"/>
    <xf numFmtId="0" fontId="2" fillId="0" borderId="4" xfId="0" applyFont="1" applyFill="1" applyBorder="1"/>
    <xf numFmtId="0" fontId="2" fillId="0" borderId="6" xfId="0" applyFont="1" applyFill="1" applyBorder="1"/>
    <xf numFmtId="0" fontId="2" fillId="0" borderId="7" xfId="0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49" fontId="2" fillId="0" borderId="5" xfId="0" applyNumberFormat="1" applyFont="1" applyFill="1" applyBorder="1" applyAlignment="1">
      <alignment horizontal="center" textRotation="90"/>
    </xf>
    <xf numFmtId="49" fontId="2" fillId="0" borderId="2" xfId="0" applyNumberFormat="1" applyFont="1" applyFill="1" applyBorder="1" applyAlignment="1">
      <alignment textRotation="90" wrapText="1"/>
    </xf>
    <xf numFmtId="0" fontId="2" fillId="0" borderId="3" xfId="0" applyFont="1" applyFill="1" applyBorder="1" applyAlignment="1">
      <alignment horizontal="right" textRotation="90"/>
    </xf>
    <xf numFmtId="0" fontId="2" fillId="0" borderId="1" xfId="0" applyFont="1" applyFill="1" applyBorder="1" applyAlignment="1">
      <alignment horizontal="right" textRotation="90"/>
    </xf>
    <xf numFmtId="0" fontId="2" fillId="0" borderId="5" xfId="0" applyFont="1" applyFill="1" applyBorder="1" applyAlignment="1">
      <alignment horizontal="right" textRotation="90"/>
    </xf>
    <xf numFmtId="0" fontId="2" fillId="0" borderId="6" xfId="0" applyFont="1" applyFill="1" applyBorder="1" applyAlignment="1">
      <alignment horizontal="right" textRotation="90"/>
    </xf>
    <xf numFmtId="0" fontId="2" fillId="0" borderId="4" xfId="0" applyFont="1" applyFill="1" applyBorder="1" applyAlignment="1">
      <alignment horizontal="right" textRotation="90"/>
    </xf>
    <xf numFmtId="0" fontId="2" fillId="0" borderId="5" xfId="0" applyFont="1" applyFill="1" applyBorder="1" applyAlignment="1">
      <alignment horizontal="right" textRotation="90" wrapText="1"/>
    </xf>
    <xf numFmtId="0" fontId="2" fillId="0" borderId="9" xfId="0" applyFont="1" applyFill="1" applyBorder="1" applyAlignment="1">
      <alignment horizontal="right" textRotation="90"/>
    </xf>
    <xf numFmtId="0" fontId="2" fillId="0" borderId="10" xfId="0" applyFont="1" applyFill="1" applyBorder="1" applyAlignment="1">
      <alignment horizontal="center" textRotation="90"/>
    </xf>
    <xf numFmtId="0" fontId="2" fillId="0" borderId="2" xfId="0" applyFont="1" applyFill="1" applyBorder="1" applyAlignment="1">
      <alignment horizontal="right" textRotation="90" wrapText="1"/>
    </xf>
    <xf numFmtId="0" fontId="2" fillId="0" borderId="1" xfId="0" applyFont="1" applyFill="1" applyBorder="1" applyAlignment="1">
      <alignment horizontal="center" textRotation="90" wrapText="1"/>
    </xf>
    <xf numFmtId="0" fontId="2" fillId="0" borderId="1" xfId="0" applyFont="1" applyFill="1" applyBorder="1" applyAlignment="1">
      <alignment horizontal="center" textRotation="90"/>
    </xf>
    <xf numFmtId="0" fontId="1" fillId="0" borderId="2" xfId="0" applyFont="1" applyFill="1" applyBorder="1" applyAlignment="1">
      <alignment horizontal="center"/>
    </xf>
    <xf numFmtId="1" fontId="1" fillId="0" borderId="7" xfId="0" applyNumberFormat="1" applyFont="1" applyFill="1" applyBorder="1" applyAlignment="1">
      <alignment horizontal="center"/>
    </xf>
    <xf numFmtId="1" fontId="1" fillId="0" borderId="2" xfId="0" applyNumberFormat="1" applyFont="1" applyFill="1" applyBorder="1" applyAlignment="1">
      <alignment horizontal="right"/>
    </xf>
    <xf numFmtId="1" fontId="1" fillId="0" borderId="1" xfId="0" applyNumberFormat="1" applyFont="1" applyFill="1" applyBorder="1" applyAlignment="1">
      <alignment horizontal="left"/>
    </xf>
    <xf numFmtId="0" fontId="1" fillId="0" borderId="1" xfId="0" applyFont="1" applyFill="1" applyBorder="1" applyAlignment="1">
      <alignment wrapText="1"/>
    </xf>
    <xf numFmtId="0" fontId="1" fillId="0" borderId="0" xfId="0" applyFont="1" applyFill="1"/>
    <xf numFmtId="0" fontId="1" fillId="0" borderId="2" xfId="0" applyFont="1" applyFill="1" applyBorder="1" applyAlignment="1">
      <alignment horizontal="right" wrapText="1"/>
    </xf>
    <xf numFmtId="0" fontId="1" fillId="0" borderId="1" xfId="0" applyNumberFormat="1" applyFont="1" applyFill="1" applyBorder="1" applyAlignment="1">
      <alignment horizontal="center" vertical="center"/>
    </xf>
    <xf numFmtId="49" fontId="1" fillId="0" borderId="11" xfId="0" applyNumberFormat="1" applyFont="1" applyFill="1" applyBorder="1"/>
    <xf numFmtId="49" fontId="1" fillId="0" borderId="12" xfId="0" applyNumberFormat="1" applyFont="1" applyFill="1" applyBorder="1"/>
    <xf numFmtId="49" fontId="1" fillId="0" borderId="3" xfId="0" applyNumberFormat="1" applyFont="1" applyFill="1" applyBorder="1" applyAlignment="1">
      <alignment horizontal="right"/>
    </xf>
    <xf numFmtId="49" fontId="1" fillId="0" borderId="1" xfId="0" applyNumberFormat="1" applyFont="1" applyFill="1" applyBorder="1" applyAlignment="1">
      <alignment horizontal="right"/>
    </xf>
    <xf numFmtId="49" fontId="1" fillId="0" borderId="5" xfId="0" applyNumberFormat="1" applyFont="1" applyFill="1" applyBorder="1" applyAlignment="1">
      <alignment horizontal="right"/>
    </xf>
    <xf numFmtId="49" fontId="1" fillId="0" borderId="6" xfId="0" applyNumberFormat="1" applyFont="1" applyFill="1" applyBorder="1" applyAlignment="1">
      <alignment horizontal="center"/>
    </xf>
    <xf numFmtId="49" fontId="1" fillId="0" borderId="4" xfId="0" applyNumberFormat="1" applyFont="1" applyFill="1" applyBorder="1" applyAlignment="1">
      <alignment horizontal="center"/>
    </xf>
    <xf numFmtId="49" fontId="1" fillId="0" borderId="1" xfId="0" applyNumberFormat="1" applyFont="1" applyFill="1" applyBorder="1" applyAlignment="1">
      <alignment horizontal="center"/>
    </xf>
    <xf numFmtId="0" fontId="1" fillId="0" borderId="2" xfId="0" applyFont="1" applyFill="1" applyBorder="1" applyAlignment="1">
      <alignment wrapText="1"/>
    </xf>
    <xf numFmtId="0" fontId="1" fillId="0" borderId="13" xfId="0" applyFont="1" applyFill="1" applyBorder="1" applyAlignment="1">
      <alignment horizontal="center"/>
    </xf>
    <xf numFmtId="49" fontId="1" fillId="0" borderId="5" xfId="0" applyNumberFormat="1" applyFont="1" applyFill="1" applyBorder="1" applyAlignment="1">
      <alignment wrapText="1"/>
    </xf>
    <xf numFmtId="49" fontId="1" fillId="2" borderId="1" xfId="0" applyNumberFormat="1" applyFont="1" applyFill="1" applyBorder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D\LP-Planadvies\05%20Bedrijven%20&amp;%20milieuzonering\Herziening%20Groene%20Boekje%202009\Bijlage%201%20naar%20SBI%202008%20aangepast%20CO%2023%20ja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INDTABEL 1 met formule"/>
      <sheetName val="codetabel"/>
    </sheetNames>
    <sheetDataSet>
      <sheetData sheetId="0"/>
      <sheetData sheetId="1">
        <row r="1">
          <cell r="A1" t="str">
            <v>afstabnd</v>
          </cell>
          <cell r="B1" t="str">
            <v>code</v>
          </cell>
        </row>
        <row r="3">
          <cell r="A3">
            <v>10</v>
          </cell>
          <cell r="B3">
            <v>1</v>
          </cell>
        </row>
        <row r="4">
          <cell r="A4">
            <v>30</v>
          </cell>
          <cell r="B4">
            <v>2</v>
          </cell>
        </row>
        <row r="5">
          <cell r="A5">
            <v>50</v>
          </cell>
          <cell r="B5" t="str">
            <v>3.1</v>
          </cell>
        </row>
        <row r="6">
          <cell r="A6">
            <v>100</v>
          </cell>
          <cell r="B6" t="str">
            <v>3.2</v>
          </cell>
        </row>
        <row r="7">
          <cell r="A7">
            <v>200</v>
          </cell>
          <cell r="B7" t="str">
            <v>4.1</v>
          </cell>
        </row>
        <row r="8">
          <cell r="A8">
            <v>300</v>
          </cell>
          <cell r="B8" t="str">
            <v>4.2</v>
          </cell>
        </row>
        <row r="9">
          <cell r="A9">
            <v>500</v>
          </cell>
          <cell r="B9" t="str">
            <v>5.1</v>
          </cell>
        </row>
        <row r="10">
          <cell r="A10">
            <v>700</v>
          </cell>
          <cell r="B10" t="str">
            <v>5.2</v>
          </cell>
        </row>
        <row r="11">
          <cell r="A11">
            <v>1000</v>
          </cell>
          <cell r="B11" t="str">
            <v>5.3</v>
          </cell>
        </row>
        <row r="12">
          <cell r="A12">
            <v>1500</v>
          </cell>
          <cell r="B12">
            <v>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7E63F-2E44-4CC6-B8A8-62A8B443B207}">
  <dimension ref="A1:AB771"/>
  <sheetViews>
    <sheetView tabSelected="1" topLeftCell="A427" workbookViewId="0">
      <selection activeCell="A404" sqref="A404"/>
    </sheetView>
  </sheetViews>
  <sheetFormatPr defaultRowHeight="11.25"/>
  <cols>
    <col min="1" max="1" width="9.5703125" style="3" customWidth="1"/>
    <col min="2" max="2" width="14.85546875" style="9" customWidth="1"/>
    <col min="3" max="3" width="3" style="13" bestFit="1" customWidth="1"/>
    <col min="4" max="4" width="60.28515625" style="70" customWidth="1"/>
    <col min="5" max="5" width="5.7109375" style="7" customWidth="1"/>
    <col min="6" max="6" width="5.5703125" style="3" customWidth="1"/>
    <col min="7" max="7" width="4.85546875" style="3" customWidth="1"/>
    <col min="8" max="8" width="2.140625" style="1" bestFit="1" customWidth="1"/>
    <col min="9" max="9" width="2" style="1" bestFit="1" customWidth="1"/>
    <col min="10" max="10" width="4.7109375" style="3" customWidth="1"/>
    <col min="11" max="11" width="3.140625" style="1" customWidth="1"/>
    <col min="12" max="12" width="4.42578125" style="3" hidden="1" customWidth="1"/>
    <col min="13" max="13" width="5.28515625" style="3" hidden="1" customWidth="1"/>
    <col min="14" max="14" width="7.28515625" style="1" hidden="1" customWidth="1"/>
    <col min="15" max="15" width="5.7109375" style="9" customWidth="1"/>
    <col min="16" max="16" width="10.7109375" style="10" hidden="1" customWidth="1"/>
    <col min="17" max="17" width="3.140625" style="71" customWidth="1"/>
    <col min="18" max="18" width="5.85546875" style="18" customWidth="1"/>
    <col min="19" max="19" width="5.7109375" style="12" customWidth="1"/>
    <col min="20" max="20" width="3.7109375" style="15" customWidth="1"/>
    <col min="21" max="23" width="2.5703125" style="1" customWidth="1"/>
    <col min="24" max="24" width="3.28515625" style="3" hidden="1" customWidth="1"/>
    <col min="25" max="25" width="8.140625" style="4" bestFit="1" customWidth="1"/>
    <col min="26" max="26" width="6.7109375" style="4" bestFit="1" customWidth="1"/>
    <col min="27" max="16384" width="9.140625" style="3"/>
  </cols>
  <sheetData>
    <row r="1" spans="1:25">
      <c r="A1" s="28" t="s">
        <v>0</v>
      </c>
      <c r="B1" s="29" t="s">
        <v>1</v>
      </c>
      <c r="C1" s="30"/>
      <c r="D1" s="31" t="s">
        <v>2</v>
      </c>
      <c r="E1" s="32" t="s">
        <v>3</v>
      </c>
      <c r="F1" s="28"/>
      <c r="G1" s="28"/>
      <c r="H1" s="33"/>
      <c r="I1" s="33"/>
      <c r="J1" s="34"/>
      <c r="K1" s="29"/>
      <c r="L1" s="35"/>
      <c r="M1" s="28"/>
      <c r="N1" s="30"/>
      <c r="O1" s="36"/>
      <c r="P1" s="29"/>
      <c r="Q1" s="37"/>
      <c r="R1" s="38"/>
      <c r="S1" s="39"/>
      <c r="T1" s="33"/>
      <c r="U1" s="40"/>
      <c r="V1" s="33"/>
      <c r="W1" s="33"/>
    </row>
    <row r="2" spans="1:25" ht="59.25" customHeight="1">
      <c r="A2" s="14"/>
      <c r="B2" s="14"/>
      <c r="C2" s="41" t="s">
        <v>4</v>
      </c>
      <c r="D2" s="42"/>
      <c r="E2" s="43" t="s">
        <v>5</v>
      </c>
      <c r="F2" s="44" t="s">
        <v>6</v>
      </c>
      <c r="G2" s="45" t="s">
        <v>7</v>
      </c>
      <c r="H2" s="46"/>
      <c r="I2" s="47"/>
      <c r="J2" s="45" t="s">
        <v>8</v>
      </c>
      <c r="K2" s="47"/>
      <c r="L2" s="44" t="s">
        <v>9</v>
      </c>
      <c r="M2" s="44"/>
      <c r="N2" s="44"/>
      <c r="O2" s="48" t="s">
        <v>10</v>
      </c>
      <c r="P2" s="46" t="s">
        <v>11</v>
      </c>
      <c r="Q2" s="49"/>
      <c r="R2" s="50" t="s">
        <v>12</v>
      </c>
      <c r="S2" s="51"/>
      <c r="T2" s="52"/>
      <c r="U2" s="53"/>
      <c r="V2" s="53"/>
      <c r="W2" s="53"/>
      <c r="X2" s="3" t="s">
        <v>13</v>
      </c>
    </row>
    <row r="3" spans="1:25">
      <c r="A3" s="2" t="s">
        <v>14</v>
      </c>
      <c r="B3" s="16" t="s">
        <v>15</v>
      </c>
      <c r="C3" s="14" t="s">
        <v>16</v>
      </c>
      <c r="D3" s="6" t="s">
        <v>17</v>
      </c>
      <c r="G3" s="9"/>
      <c r="H3" s="10"/>
      <c r="I3" s="8"/>
      <c r="J3" s="9"/>
      <c r="K3" s="8"/>
      <c r="P3" s="10" t="e">
        <f>VLOOKUP($O3,codetabel!$A$1:$B$12,2,FALSE)</f>
        <v>#N/A</v>
      </c>
      <c r="Q3" s="11"/>
      <c r="R3" s="54" t="str">
        <f t="shared" ref="R3:R34" si="0">IF(ISNA(P3),"",P3)</f>
        <v/>
      </c>
    </row>
    <row r="4" spans="1:25">
      <c r="A4" s="2" t="s">
        <v>18</v>
      </c>
      <c r="B4" s="16" t="s">
        <v>19</v>
      </c>
      <c r="C4" s="14" t="s">
        <v>20</v>
      </c>
      <c r="D4" s="6" t="s">
        <v>21</v>
      </c>
      <c r="G4" s="9"/>
      <c r="H4" s="10"/>
      <c r="I4" s="8"/>
      <c r="J4" s="9"/>
      <c r="K4" s="8"/>
      <c r="P4" s="10" t="e">
        <f>VLOOKUP($O4,codetabel!$A$1:$B$12,2,FALSE)</f>
        <v>#N/A</v>
      </c>
      <c r="Q4" s="11"/>
      <c r="R4" s="54" t="str">
        <f t="shared" si="0"/>
        <v/>
      </c>
    </row>
    <row r="5" spans="1:25">
      <c r="A5" s="2" t="s">
        <v>18</v>
      </c>
      <c r="B5" s="16" t="s">
        <v>19</v>
      </c>
      <c r="C5" s="14" t="s">
        <v>22</v>
      </c>
      <c r="D5" s="6" t="s">
        <v>23</v>
      </c>
      <c r="E5" s="7">
        <v>100</v>
      </c>
      <c r="F5" s="3">
        <v>0</v>
      </c>
      <c r="G5" s="9">
        <v>100</v>
      </c>
      <c r="H5" s="10" t="s">
        <v>24</v>
      </c>
      <c r="I5" s="8"/>
      <c r="J5" s="9">
        <v>50</v>
      </c>
      <c r="K5" s="8" t="s">
        <v>25</v>
      </c>
      <c r="L5" s="3">
        <v>2</v>
      </c>
      <c r="M5" s="3" t="s">
        <v>26</v>
      </c>
      <c r="O5" s="9">
        <f t="shared" ref="O5:O11" si="1">MAX(J5,G5,F5,E5)</f>
        <v>100</v>
      </c>
      <c r="P5" s="10" t="str">
        <f>VLOOKUP($O5,codetabel!$A$1:$B$12,2,FALSE)</f>
        <v>3.2</v>
      </c>
      <c r="Q5" s="11" t="s">
        <v>27</v>
      </c>
      <c r="R5" s="54" t="str">
        <f t="shared" si="0"/>
        <v>3.2</v>
      </c>
    </row>
    <row r="6" spans="1:25">
      <c r="A6" s="2" t="s">
        <v>18</v>
      </c>
      <c r="B6" s="16" t="s">
        <v>28</v>
      </c>
      <c r="C6" s="14" t="s">
        <v>29</v>
      </c>
      <c r="D6" s="6" t="s">
        <v>30</v>
      </c>
      <c r="E6" s="7">
        <v>300</v>
      </c>
      <c r="F6" s="3">
        <v>0</v>
      </c>
      <c r="G6" s="9">
        <v>100</v>
      </c>
      <c r="H6" s="10" t="s">
        <v>24</v>
      </c>
      <c r="I6" s="8"/>
      <c r="J6" s="9">
        <v>50</v>
      </c>
      <c r="K6" s="8" t="s">
        <v>25</v>
      </c>
      <c r="L6" s="3">
        <v>2</v>
      </c>
      <c r="M6" s="3" t="s">
        <v>26</v>
      </c>
      <c r="O6" s="9">
        <f t="shared" si="1"/>
        <v>300</v>
      </c>
      <c r="P6" s="10" t="str">
        <f>VLOOKUP($O6,codetabel!$A$1:$B$12,2,FALSE)</f>
        <v>4.2</v>
      </c>
      <c r="Q6" s="11"/>
      <c r="R6" s="54" t="str">
        <f t="shared" si="0"/>
        <v>4.2</v>
      </c>
    </row>
    <row r="7" spans="1:25">
      <c r="A7" s="2" t="s">
        <v>18</v>
      </c>
      <c r="B7" s="16" t="s">
        <v>28</v>
      </c>
      <c r="C7" s="14" t="s">
        <v>31</v>
      </c>
      <c r="D7" s="6" t="s">
        <v>32</v>
      </c>
      <c r="E7" s="7">
        <v>100</v>
      </c>
      <c r="F7" s="3">
        <v>0</v>
      </c>
      <c r="G7" s="9">
        <v>100</v>
      </c>
      <c r="H7" s="10" t="s">
        <v>24</v>
      </c>
      <c r="I7" s="8"/>
      <c r="J7" s="9">
        <v>50</v>
      </c>
      <c r="K7" s="8" t="s">
        <v>25</v>
      </c>
      <c r="L7" s="3">
        <v>2</v>
      </c>
      <c r="M7" s="3" t="s">
        <v>26</v>
      </c>
      <c r="O7" s="9">
        <f t="shared" si="1"/>
        <v>100</v>
      </c>
      <c r="P7" s="10" t="str">
        <f>VLOOKUP($O7,codetabel!$A$1:$B$12,2,FALSE)</f>
        <v>3.2</v>
      </c>
      <c r="Q7" s="11"/>
      <c r="R7" s="54" t="str">
        <f t="shared" si="0"/>
        <v>3.2</v>
      </c>
    </row>
    <row r="8" spans="1:25">
      <c r="A8" s="2" t="s">
        <v>18</v>
      </c>
      <c r="B8" s="16" t="s">
        <v>28</v>
      </c>
      <c r="C8" s="14" t="s">
        <v>33</v>
      </c>
      <c r="D8" s="6" t="s">
        <v>34</v>
      </c>
      <c r="E8" s="7">
        <v>50</v>
      </c>
      <c r="F8" s="3">
        <v>0</v>
      </c>
      <c r="G8" s="9">
        <v>50</v>
      </c>
      <c r="H8" s="10" t="s">
        <v>24</v>
      </c>
      <c r="I8" s="8"/>
      <c r="J8" s="9">
        <v>30</v>
      </c>
      <c r="K8" s="8"/>
      <c r="L8" s="3">
        <v>1</v>
      </c>
      <c r="M8" s="3" t="s">
        <v>26</v>
      </c>
      <c r="O8" s="9">
        <f t="shared" si="1"/>
        <v>50</v>
      </c>
      <c r="P8" s="10" t="str">
        <f>VLOOKUP($O8,codetabel!$A$1:$B$12,2,FALSE)</f>
        <v>3.1</v>
      </c>
      <c r="Q8" s="11"/>
      <c r="R8" s="54" t="str">
        <f t="shared" si="0"/>
        <v>3.1</v>
      </c>
      <c r="X8" s="3" t="s">
        <v>35</v>
      </c>
    </row>
    <row r="9" spans="1:25">
      <c r="A9" s="2" t="s">
        <v>18</v>
      </c>
      <c r="B9" s="16" t="s">
        <v>28</v>
      </c>
      <c r="C9" s="14" t="s">
        <v>36</v>
      </c>
      <c r="D9" s="6" t="s">
        <v>37</v>
      </c>
      <c r="E9" s="7">
        <v>30</v>
      </c>
      <c r="F9" s="3">
        <v>0</v>
      </c>
      <c r="G9" s="9">
        <v>50</v>
      </c>
      <c r="H9" s="10"/>
      <c r="I9" s="8"/>
      <c r="J9" s="9">
        <v>10</v>
      </c>
      <c r="K9" s="8"/>
      <c r="L9" s="3">
        <v>1</v>
      </c>
      <c r="M9" s="3" t="s">
        <v>26</v>
      </c>
      <c r="O9" s="9">
        <f t="shared" si="1"/>
        <v>50</v>
      </c>
      <c r="P9" s="10" t="str">
        <f>VLOOKUP($O9,codetabel!$A$1:$B$12,2,FALSE)</f>
        <v>3.1</v>
      </c>
      <c r="Q9" s="11"/>
      <c r="R9" s="54" t="str">
        <f t="shared" si="0"/>
        <v>3.1</v>
      </c>
      <c r="X9" s="3" t="s">
        <v>35</v>
      </c>
    </row>
    <row r="10" spans="1:25">
      <c r="A10" s="2" t="s">
        <v>18</v>
      </c>
      <c r="B10" s="16" t="s">
        <v>19</v>
      </c>
      <c r="C10" s="14" t="s">
        <v>38</v>
      </c>
      <c r="D10" s="6" t="s">
        <v>39</v>
      </c>
      <c r="E10" s="7">
        <v>50</v>
      </c>
      <c r="F10" s="3">
        <v>0</v>
      </c>
      <c r="G10" s="9">
        <v>50</v>
      </c>
      <c r="H10" s="10"/>
      <c r="I10" s="8"/>
      <c r="J10" s="9">
        <v>10</v>
      </c>
      <c r="K10" s="8"/>
      <c r="L10" s="3">
        <v>1</v>
      </c>
      <c r="M10" s="3" t="s">
        <v>26</v>
      </c>
      <c r="O10" s="9">
        <f t="shared" si="1"/>
        <v>50</v>
      </c>
      <c r="P10" s="10" t="str">
        <f>VLOOKUP($O10,codetabel!$A$1:$B$12,2,FALSE)</f>
        <v>3.1</v>
      </c>
      <c r="Q10" s="11"/>
      <c r="R10" s="54" t="str">
        <f t="shared" si="0"/>
        <v>3.1</v>
      </c>
    </row>
    <row r="11" spans="1:25" ht="22.5">
      <c r="A11" s="2" t="s">
        <v>18</v>
      </c>
      <c r="B11" s="16" t="s">
        <v>40</v>
      </c>
      <c r="C11" s="14" t="s">
        <v>41</v>
      </c>
      <c r="D11" s="6" t="s">
        <v>42</v>
      </c>
      <c r="E11" s="7">
        <v>50</v>
      </c>
      <c r="F11" s="3">
        <v>0</v>
      </c>
      <c r="G11" s="9">
        <v>50</v>
      </c>
      <c r="H11" s="10"/>
      <c r="I11" s="8"/>
      <c r="J11" s="9">
        <v>10</v>
      </c>
      <c r="K11" s="8"/>
      <c r="L11" s="3">
        <v>2</v>
      </c>
      <c r="M11" s="3" t="s">
        <v>26</v>
      </c>
      <c r="O11" s="9">
        <f t="shared" si="1"/>
        <v>50</v>
      </c>
      <c r="P11" s="10" t="str">
        <f>VLOOKUP($O11,codetabel!$A$1:$B$12,2,FALSE)</f>
        <v>3.1</v>
      </c>
      <c r="Q11" s="11"/>
      <c r="R11" s="54" t="str">
        <f t="shared" si="0"/>
        <v>3.1</v>
      </c>
      <c r="X11" s="3" t="s">
        <v>35</v>
      </c>
    </row>
    <row r="12" spans="1:25">
      <c r="A12" s="2" t="s">
        <v>43</v>
      </c>
      <c r="B12" s="16" t="s">
        <v>44</v>
      </c>
      <c r="C12" s="14" t="s">
        <v>20</v>
      </c>
      <c r="D12" s="6" t="s">
        <v>45</v>
      </c>
      <c r="G12" s="9"/>
      <c r="H12" s="10"/>
      <c r="I12" s="8"/>
      <c r="J12" s="9"/>
      <c r="K12" s="8"/>
      <c r="P12" s="10" t="e">
        <f>VLOOKUP($O12,codetabel!$A$1:$B$12,2,FALSE)</f>
        <v>#N/A</v>
      </c>
      <c r="Q12" s="11"/>
      <c r="R12" s="54" t="str">
        <f t="shared" si="0"/>
        <v/>
      </c>
    </row>
    <row r="13" spans="1:25">
      <c r="A13" s="2" t="s">
        <v>43</v>
      </c>
      <c r="B13" s="16" t="s">
        <v>44</v>
      </c>
      <c r="C13" s="14" t="s">
        <v>46</v>
      </c>
      <c r="D13" s="6" t="s">
        <v>47</v>
      </c>
      <c r="E13" s="7">
        <v>200</v>
      </c>
      <c r="F13" s="3">
        <v>0</v>
      </c>
      <c r="G13" s="9">
        <v>100</v>
      </c>
      <c r="H13" s="10" t="s">
        <v>24</v>
      </c>
      <c r="I13" s="8"/>
      <c r="J13" s="9">
        <v>30</v>
      </c>
      <c r="K13" s="8"/>
      <c r="L13" s="3">
        <v>2</v>
      </c>
      <c r="M13" s="3" t="s">
        <v>26</v>
      </c>
      <c r="O13" s="9">
        <f>MAX(J13,G13,F13,E13)</f>
        <v>200</v>
      </c>
      <c r="P13" s="10" t="str">
        <f>VLOOKUP($O13,codetabel!$A$1:$B$12,2,FALSE)</f>
        <v>4.1</v>
      </c>
      <c r="Q13" s="11"/>
      <c r="R13" s="54" t="str">
        <f t="shared" si="0"/>
        <v>4.1</v>
      </c>
    </row>
    <row r="14" spans="1:25">
      <c r="A14" s="2" t="s">
        <v>43</v>
      </c>
      <c r="B14" s="16" t="s">
        <v>44</v>
      </c>
      <c r="C14" s="14" t="s">
        <v>29</v>
      </c>
      <c r="D14" s="6" t="s">
        <v>48</v>
      </c>
      <c r="E14" s="7">
        <v>300</v>
      </c>
      <c r="F14" s="3">
        <v>0</v>
      </c>
      <c r="G14" s="9">
        <v>50</v>
      </c>
      <c r="H14" s="10" t="s">
        <v>24</v>
      </c>
      <c r="I14" s="8"/>
      <c r="J14" s="9">
        <v>0</v>
      </c>
      <c r="K14" s="8"/>
      <c r="L14" s="3">
        <v>1</v>
      </c>
      <c r="M14" s="3" t="s">
        <v>26</v>
      </c>
      <c r="O14" s="9">
        <f>MAX(J14,G14,F14,E14)</f>
        <v>300</v>
      </c>
      <c r="P14" s="10" t="str">
        <f>VLOOKUP($O14,codetabel!$A$1:$B$12,2,FALSE)</f>
        <v>4.2</v>
      </c>
      <c r="Q14" s="11"/>
      <c r="R14" s="54" t="str">
        <f t="shared" si="0"/>
        <v>4.2</v>
      </c>
    </row>
    <row r="15" spans="1:25">
      <c r="A15" s="2" t="s">
        <v>43</v>
      </c>
      <c r="B15" s="16" t="s">
        <v>44</v>
      </c>
      <c r="C15" s="14" t="s">
        <v>31</v>
      </c>
      <c r="D15" s="6" t="s">
        <v>49</v>
      </c>
      <c r="E15" s="7">
        <v>300</v>
      </c>
      <c r="F15" s="3">
        <v>10</v>
      </c>
      <c r="G15" s="9">
        <v>50</v>
      </c>
      <c r="H15" s="10" t="s">
        <v>24</v>
      </c>
      <c r="I15" s="8"/>
      <c r="J15" s="9">
        <v>30</v>
      </c>
      <c r="K15" s="8"/>
      <c r="L15" s="3">
        <v>2</v>
      </c>
      <c r="M15" s="3" t="s">
        <v>26</v>
      </c>
      <c r="O15" s="9">
        <f>MAX(J15,G15,F15,E15)</f>
        <v>300</v>
      </c>
      <c r="P15" s="10" t="str">
        <f>VLOOKUP($O15,codetabel!$A$1:$B$12,2,FALSE)</f>
        <v>4.2</v>
      </c>
      <c r="Q15" s="11" t="s">
        <v>27</v>
      </c>
      <c r="R15" s="54" t="str">
        <f t="shared" si="0"/>
        <v>4.2</v>
      </c>
    </row>
    <row r="16" spans="1:25">
      <c r="A16" s="2" t="s">
        <v>43</v>
      </c>
      <c r="B16" s="16" t="s">
        <v>44</v>
      </c>
      <c r="C16" s="14" t="s">
        <v>33</v>
      </c>
      <c r="D16" s="6" t="s">
        <v>50</v>
      </c>
      <c r="E16" s="7">
        <v>100</v>
      </c>
      <c r="F16" s="3">
        <v>10</v>
      </c>
      <c r="G16" s="9">
        <v>50</v>
      </c>
      <c r="H16" s="10"/>
      <c r="I16" s="8"/>
      <c r="J16" s="9">
        <v>30</v>
      </c>
      <c r="K16" s="8"/>
      <c r="L16" s="3">
        <v>1</v>
      </c>
      <c r="M16" s="3" t="s">
        <v>26</v>
      </c>
      <c r="O16" s="9">
        <f>MAX(J16,G16,F16,E16)</f>
        <v>100</v>
      </c>
      <c r="P16" s="10" t="str">
        <f>VLOOKUP($O16,codetabel!$A$1:$B$12,2,FALSE)</f>
        <v>3.2</v>
      </c>
      <c r="Q16" s="11"/>
      <c r="R16" s="54" t="str">
        <f t="shared" si="0"/>
        <v>3.2</v>
      </c>
      <c r="X16" s="3" t="s">
        <v>35</v>
      </c>
      <c r="Y16" s="5"/>
    </row>
    <row r="17" spans="1:25">
      <c r="A17" s="2" t="s">
        <v>43</v>
      </c>
      <c r="B17" s="16" t="s">
        <v>44</v>
      </c>
      <c r="C17" s="14" t="s">
        <v>36</v>
      </c>
      <c r="D17" s="6" t="s">
        <v>51</v>
      </c>
      <c r="E17" s="7">
        <v>50</v>
      </c>
      <c r="F17" s="3">
        <v>10</v>
      </c>
      <c r="G17" s="9">
        <v>30</v>
      </c>
      <c r="H17" s="10"/>
      <c r="I17" s="8"/>
      <c r="J17" s="9">
        <v>10</v>
      </c>
      <c r="K17" s="8"/>
      <c r="L17" s="3">
        <v>1</v>
      </c>
      <c r="M17" s="3" t="s">
        <v>26</v>
      </c>
      <c r="O17" s="9">
        <f>MAX(J17,G17,F17,E17)</f>
        <v>50</v>
      </c>
      <c r="P17" s="10" t="str">
        <f>VLOOKUP($O17,codetabel!$A$1:$B$12,2,FALSE)</f>
        <v>3.1</v>
      </c>
      <c r="Q17" s="11"/>
      <c r="R17" s="54" t="str">
        <f t="shared" si="0"/>
        <v>3.1</v>
      </c>
      <c r="X17" s="3" t="s">
        <v>35</v>
      </c>
      <c r="Y17" s="5"/>
    </row>
    <row r="18" spans="1:25">
      <c r="A18" s="2" t="s">
        <v>52</v>
      </c>
      <c r="B18" s="16" t="s">
        <v>53</v>
      </c>
      <c r="C18" s="14" t="s">
        <v>20</v>
      </c>
      <c r="D18" s="6" t="s">
        <v>54</v>
      </c>
      <c r="G18" s="9"/>
      <c r="H18" s="10"/>
      <c r="I18" s="8"/>
      <c r="J18" s="9"/>
      <c r="K18" s="8"/>
      <c r="P18" s="10" t="e">
        <f>VLOOKUP($O18,codetabel!$A$1:$B$12,2,FALSE)</f>
        <v>#N/A</v>
      </c>
      <c r="Q18" s="11"/>
      <c r="R18" s="54" t="str">
        <f t="shared" si="0"/>
        <v/>
      </c>
    </row>
    <row r="19" spans="1:25">
      <c r="A19" s="2" t="s">
        <v>52</v>
      </c>
      <c r="B19" s="16" t="s">
        <v>53</v>
      </c>
      <c r="C19" s="14" t="s">
        <v>22</v>
      </c>
      <c r="D19" s="6" t="s">
        <v>55</v>
      </c>
      <c r="E19" s="7">
        <v>300</v>
      </c>
      <c r="F19" s="3">
        <v>30</v>
      </c>
      <c r="G19" s="9">
        <v>200</v>
      </c>
      <c r="H19" s="10" t="s">
        <v>24</v>
      </c>
      <c r="I19" s="8"/>
      <c r="J19" s="9">
        <v>50</v>
      </c>
      <c r="K19" s="8" t="s">
        <v>25</v>
      </c>
      <c r="L19" s="3">
        <v>2</v>
      </c>
      <c r="M19" s="3" t="s">
        <v>26</v>
      </c>
      <c r="O19" s="9">
        <f>MAX(J19,G19,F19,E19)</f>
        <v>300</v>
      </c>
      <c r="P19" s="10" t="str">
        <f>VLOOKUP($O19,codetabel!$A$1:$B$12,2,FALSE)</f>
        <v>4.2</v>
      </c>
      <c r="Q19" s="11"/>
      <c r="R19" s="54" t="str">
        <f t="shared" si="0"/>
        <v>4.2</v>
      </c>
      <c r="X19" s="3" t="s">
        <v>35</v>
      </c>
      <c r="Y19" s="5"/>
    </row>
    <row r="20" spans="1:25">
      <c r="A20" s="2" t="s">
        <v>52</v>
      </c>
      <c r="B20" s="16" t="s">
        <v>53</v>
      </c>
      <c r="C20" s="14" t="s">
        <v>46</v>
      </c>
      <c r="D20" s="6" t="s">
        <v>56</v>
      </c>
      <c r="E20" s="7">
        <v>50</v>
      </c>
      <c r="F20" s="3">
        <v>10</v>
      </c>
      <c r="G20" s="9">
        <v>50</v>
      </c>
      <c r="H20" s="10"/>
      <c r="I20" s="8"/>
      <c r="J20" s="9">
        <v>50</v>
      </c>
      <c r="K20" s="8" t="s">
        <v>25</v>
      </c>
      <c r="L20" s="3">
        <v>1</v>
      </c>
      <c r="M20" s="3" t="s">
        <v>26</v>
      </c>
      <c r="O20" s="9">
        <f>MAX(J20,G20,F20,E20)</f>
        <v>50</v>
      </c>
      <c r="P20" s="10" t="str">
        <f>VLOOKUP($O20,codetabel!$A$1:$B$12,2,FALSE)</f>
        <v>3.1</v>
      </c>
      <c r="Q20" s="11"/>
      <c r="R20" s="54" t="str">
        <f t="shared" si="0"/>
        <v>3.1</v>
      </c>
      <c r="X20" s="3" t="s">
        <v>35</v>
      </c>
    </row>
    <row r="21" spans="1:25">
      <c r="A21" s="2" t="s">
        <v>57</v>
      </c>
      <c r="B21" s="16" t="s">
        <v>58</v>
      </c>
      <c r="C21" s="14" t="s">
        <v>20</v>
      </c>
      <c r="D21" s="6" t="s">
        <v>59</v>
      </c>
      <c r="G21" s="9"/>
      <c r="H21" s="10"/>
      <c r="I21" s="8"/>
      <c r="J21" s="9"/>
      <c r="K21" s="8"/>
      <c r="P21" s="10" t="e">
        <f>VLOOKUP($O21,codetabel!$A$1:$B$12,2,FALSE)</f>
        <v>#N/A</v>
      </c>
      <c r="Q21" s="11"/>
      <c r="R21" s="54" t="str">
        <f t="shared" si="0"/>
        <v/>
      </c>
    </row>
    <row r="22" spans="1:25">
      <c r="A22" s="2" t="s">
        <v>57</v>
      </c>
      <c r="B22" s="16" t="s">
        <v>58</v>
      </c>
      <c r="C22" s="14" t="s">
        <v>22</v>
      </c>
      <c r="D22" s="6" t="s">
        <v>60</v>
      </c>
      <c r="E22" s="7">
        <v>50</v>
      </c>
      <c r="F22" s="3">
        <v>10</v>
      </c>
      <c r="G22" s="9">
        <v>100</v>
      </c>
      <c r="H22" s="10" t="s">
        <v>24</v>
      </c>
      <c r="I22" s="8"/>
      <c r="J22" s="9">
        <v>10</v>
      </c>
      <c r="K22" s="8"/>
      <c r="L22" s="3">
        <v>1</v>
      </c>
      <c r="M22" s="3" t="s">
        <v>26</v>
      </c>
      <c r="O22" s="9">
        <f>MAX(J22,G22,F22,E22)</f>
        <v>100</v>
      </c>
      <c r="P22" s="10" t="str">
        <f>VLOOKUP($O22,codetabel!$A$1:$B$12,2,FALSE)</f>
        <v>3.2</v>
      </c>
      <c r="Q22" s="11"/>
      <c r="R22" s="54" t="str">
        <f t="shared" si="0"/>
        <v>3.2</v>
      </c>
    </row>
    <row r="23" spans="1:25">
      <c r="A23" s="2" t="s">
        <v>57</v>
      </c>
      <c r="B23" s="16" t="s">
        <v>58</v>
      </c>
      <c r="C23" s="14" t="s">
        <v>46</v>
      </c>
      <c r="D23" s="6" t="s">
        <v>61</v>
      </c>
      <c r="E23" s="7">
        <v>50</v>
      </c>
      <c r="F23" s="3">
        <v>10</v>
      </c>
      <c r="G23" s="9">
        <v>100</v>
      </c>
      <c r="H23" s="10" t="s">
        <v>24</v>
      </c>
      <c r="I23" s="8"/>
      <c r="J23" s="9">
        <v>10</v>
      </c>
      <c r="K23" s="8"/>
      <c r="L23" s="3">
        <v>2</v>
      </c>
      <c r="M23" s="3" t="s">
        <v>26</v>
      </c>
      <c r="O23" s="9">
        <f>MAX(J23,G23,F23,E23)</f>
        <v>100</v>
      </c>
      <c r="P23" s="10" t="str">
        <f>VLOOKUP($O23,codetabel!$A$1:$B$12,2,FALSE)</f>
        <v>3.2</v>
      </c>
      <c r="Q23" s="11"/>
      <c r="R23" s="54" t="str">
        <f t="shared" si="0"/>
        <v>3.2</v>
      </c>
    </row>
    <row r="24" spans="1:25">
      <c r="A24" s="2" t="s">
        <v>57</v>
      </c>
      <c r="B24" s="16" t="s">
        <v>58</v>
      </c>
      <c r="C24" s="14" t="s">
        <v>29</v>
      </c>
      <c r="D24" s="6" t="s">
        <v>62</v>
      </c>
      <c r="E24" s="7">
        <v>100</v>
      </c>
      <c r="F24" s="3">
        <v>10</v>
      </c>
      <c r="G24" s="9">
        <v>100</v>
      </c>
      <c r="H24" s="10" t="s">
        <v>24</v>
      </c>
      <c r="I24" s="8"/>
      <c r="J24" s="9">
        <v>10</v>
      </c>
      <c r="K24" s="8"/>
      <c r="L24" s="3">
        <v>2</v>
      </c>
      <c r="M24" s="3" t="s">
        <v>26</v>
      </c>
      <c r="O24" s="9">
        <f>MAX(J24,G24,F24,E24)</f>
        <v>100</v>
      </c>
      <c r="P24" s="10" t="str">
        <f>VLOOKUP($O24,codetabel!$A$1:$B$12,2,FALSE)</f>
        <v>3.2</v>
      </c>
      <c r="Q24" s="11"/>
      <c r="R24" s="54" t="str">
        <f t="shared" si="0"/>
        <v>3.2</v>
      </c>
    </row>
    <row r="25" spans="1:25">
      <c r="A25" s="2" t="s">
        <v>57</v>
      </c>
      <c r="B25" s="16" t="s">
        <v>58</v>
      </c>
      <c r="C25" s="14" t="s">
        <v>31</v>
      </c>
      <c r="D25" s="6" t="s">
        <v>63</v>
      </c>
      <c r="E25" s="7">
        <v>300</v>
      </c>
      <c r="F25" s="3">
        <v>10</v>
      </c>
      <c r="G25" s="9">
        <v>200</v>
      </c>
      <c r="H25" s="10" t="s">
        <v>24</v>
      </c>
      <c r="I25" s="8"/>
      <c r="J25" s="9">
        <v>30</v>
      </c>
      <c r="K25" s="8"/>
      <c r="L25" s="3">
        <v>2</v>
      </c>
      <c r="M25" s="3" t="s">
        <v>26</v>
      </c>
      <c r="O25" s="9">
        <f>MAX(J25,G25,F25,E25)</f>
        <v>300</v>
      </c>
      <c r="P25" s="10" t="str">
        <f>VLOOKUP($O25,codetabel!$A$1:$B$12,2,FALSE)</f>
        <v>4.2</v>
      </c>
      <c r="Q25" s="11"/>
      <c r="R25" s="54" t="str">
        <f t="shared" si="0"/>
        <v>4.2</v>
      </c>
    </row>
    <row r="26" spans="1:25">
      <c r="A26" s="2" t="s">
        <v>57</v>
      </c>
      <c r="B26" s="16" t="s">
        <v>58</v>
      </c>
      <c r="C26" s="14" t="s">
        <v>33</v>
      </c>
      <c r="D26" s="6" t="s">
        <v>64</v>
      </c>
      <c r="E26" s="7">
        <v>300</v>
      </c>
      <c r="F26" s="3">
        <v>10</v>
      </c>
      <c r="G26" s="9">
        <v>100</v>
      </c>
      <c r="H26" s="10" t="s">
        <v>24</v>
      </c>
      <c r="I26" s="8"/>
      <c r="J26" s="9">
        <v>10</v>
      </c>
      <c r="K26" s="8"/>
      <c r="L26" s="3">
        <v>2</v>
      </c>
      <c r="M26" s="3" t="s">
        <v>26</v>
      </c>
      <c r="O26" s="9">
        <f>MAX(J26,G26,F26,E26)</f>
        <v>300</v>
      </c>
      <c r="P26" s="10" t="str">
        <f>VLOOKUP($O26,codetabel!$A$1:$B$12,2,FALSE)</f>
        <v>4.2</v>
      </c>
      <c r="Q26" s="11"/>
      <c r="R26" s="54" t="str">
        <f t="shared" si="0"/>
        <v>4.2</v>
      </c>
    </row>
    <row r="27" spans="1:25">
      <c r="A27" s="2" t="s">
        <v>65</v>
      </c>
      <c r="B27" s="16" t="s">
        <v>66</v>
      </c>
      <c r="C27" s="14" t="s">
        <v>20</v>
      </c>
      <c r="D27" s="6" t="s">
        <v>67</v>
      </c>
      <c r="G27" s="9"/>
      <c r="H27" s="10"/>
      <c r="I27" s="8"/>
      <c r="J27" s="9"/>
      <c r="K27" s="8"/>
      <c r="P27" s="10" t="e">
        <f>VLOOKUP($O27,codetabel!$A$1:$B$12,2,FALSE)</f>
        <v>#N/A</v>
      </c>
      <c r="Q27" s="11"/>
      <c r="R27" s="54" t="str">
        <f t="shared" si="0"/>
        <v/>
      </c>
    </row>
    <row r="28" spans="1:25">
      <c r="A28" s="2" t="s">
        <v>65</v>
      </c>
      <c r="B28" s="16" t="s">
        <v>66</v>
      </c>
      <c r="C28" s="14" t="s">
        <v>22</v>
      </c>
      <c r="D28" s="6" t="s">
        <v>68</v>
      </c>
      <c r="E28" s="7">
        <v>200</v>
      </c>
      <c r="F28" s="3">
        <v>30</v>
      </c>
      <c r="G28" s="9">
        <v>100</v>
      </c>
      <c r="H28" s="10" t="s">
        <v>24</v>
      </c>
      <c r="I28" s="8"/>
      <c r="J28" s="9">
        <v>30</v>
      </c>
      <c r="K28" s="8" t="s">
        <v>25</v>
      </c>
      <c r="L28" s="3">
        <v>3</v>
      </c>
      <c r="M28" s="3" t="s">
        <v>26</v>
      </c>
      <c r="O28" s="9">
        <f>MAX(J28,G28,F28,E28)</f>
        <v>200</v>
      </c>
      <c r="P28" s="10" t="str">
        <f>VLOOKUP($O28,codetabel!$A$1:$B$12,2,FALSE)</f>
        <v>4.1</v>
      </c>
      <c r="Q28" s="11"/>
      <c r="R28" s="54" t="str">
        <f t="shared" si="0"/>
        <v>4.1</v>
      </c>
    </row>
    <row r="29" spans="1:25">
      <c r="A29" s="2" t="s">
        <v>65</v>
      </c>
      <c r="B29" s="16" t="s">
        <v>66</v>
      </c>
      <c r="C29" s="14" t="s">
        <v>46</v>
      </c>
      <c r="D29" s="6" t="s">
        <v>69</v>
      </c>
      <c r="E29" s="7">
        <v>300</v>
      </c>
      <c r="F29" s="3">
        <v>50</v>
      </c>
      <c r="G29" s="9">
        <v>300</v>
      </c>
      <c r="H29" s="10" t="s">
        <v>24</v>
      </c>
      <c r="I29" s="8" t="s">
        <v>70</v>
      </c>
      <c r="J29" s="9">
        <v>50</v>
      </c>
      <c r="K29" s="8" t="s">
        <v>25</v>
      </c>
      <c r="L29" s="3">
        <v>3</v>
      </c>
      <c r="M29" s="3" t="s">
        <v>26</v>
      </c>
      <c r="O29" s="9">
        <f>MAX(J29,G29,F29,E29)</f>
        <v>300</v>
      </c>
      <c r="P29" s="10" t="str">
        <f>VLOOKUP($O29,codetabel!$A$1:$B$12,2,FALSE)</f>
        <v>4.2</v>
      </c>
      <c r="Q29" s="11"/>
      <c r="R29" s="54" t="str">
        <f t="shared" si="0"/>
        <v>4.2</v>
      </c>
    </row>
    <row r="30" spans="1:25">
      <c r="A30" s="2" t="s">
        <v>71</v>
      </c>
      <c r="B30" s="16" t="s">
        <v>72</v>
      </c>
      <c r="C30" s="14" t="s">
        <v>20</v>
      </c>
      <c r="D30" s="6" t="s">
        <v>73</v>
      </c>
      <c r="G30" s="9"/>
      <c r="H30" s="10"/>
      <c r="I30" s="8"/>
      <c r="J30" s="9"/>
      <c r="K30" s="8"/>
      <c r="P30" s="10" t="e">
        <f>VLOOKUP($O30,codetabel!$A$1:$B$12,2,FALSE)</f>
        <v>#N/A</v>
      </c>
      <c r="Q30" s="11"/>
      <c r="R30" s="54" t="str">
        <f t="shared" si="0"/>
        <v/>
      </c>
    </row>
    <row r="31" spans="1:25">
      <c r="A31" s="2" t="s">
        <v>71</v>
      </c>
      <c r="B31" s="16" t="s">
        <v>72</v>
      </c>
      <c r="C31" s="14" t="s">
        <v>22</v>
      </c>
      <c r="D31" s="6" t="s">
        <v>68</v>
      </c>
      <c r="E31" s="7">
        <v>200</v>
      </c>
      <c r="F31" s="3">
        <v>10</v>
      </c>
      <c r="G31" s="9">
        <v>100</v>
      </c>
      <c r="H31" s="10" t="s">
        <v>24</v>
      </c>
      <c r="I31" s="8"/>
      <c r="J31" s="9">
        <v>100</v>
      </c>
      <c r="K31" s="8" t="s">
        <v>25</v>
      </c>
      <c r="L31" s="3">
        <v>3</v>
      </c>
      <c r="M31" s="3" t="s">
        <v>26</v>
      </c>
      <c r="O31" s="9">
        <f>MAX(J31,G31,F31,E31)</f>
        <v>200</v>
      </c>
      <c r="P31" s="10" t="str">
        <f>VLOOKUP($O31,codetabel!$A$1:$B$12,2,FALSE)</f>
        <v>4.1</v>
      </c>
      <c r="Q31" s="11"/>
      <c r="R31" s="54" t="str">
        <f t="shared" si="0"/>
        <v>4.1</v>
      </c>
    </row>
    <row r="32" spans="1:25">
      <c r="A32" s="2" t="s">
        <v>71</v>
      </c>
      <c r="B32" s="16" t="s">
        <v>72</v>
      </c>
      <c r="C32" s="14" t="s">
        <v>46</v>
      </c>
      <c r="D32" s="6" t="s">
        <v>69</v>
      </c>
      <c r="E32" s="7">
        <v>300</v>
      </c>
      <c r="F32" s="3">
        <v>10</v>
      </c>
      <c r="G32" s="9">
        <v>300</v>
      </c>
      <c r="H32" s="10" t="s">
        <v>24</v>
      </c>
      <c r="I32" s="8" t="s">
        <v>70</v>
      </c>
      <c r="J32" s="9">
        <v>200</v>
      </c>
      <c r="K32" s="8" t="s">
        <v>25</v>
      </c>
      <c r="L32" s="3">
        <v>3</v>
      </c>
      <c r="M32" s="3" t="s">
        <v>26</v>
      </c>
      <c r="O32" s="9">
        <f>MAX(J32,G32,F32,E32)</f>
        <v>300</v>
      </c>
      <c r="P32" s="10" t="str">
        <f>VLOOKUP($O32,codetabel!$A$1:$B$12,2,FALSE)</f>
        <v>4.2</v>
      </c>
      <c r="Q32" s="11"/>
      <c r="R32" s="54" t="str">
        <f t="shared" si="0"/>
        <v>4.2</v>
      </c>
    </row>
    <row r="33" spans="1:25">
      <c r="A33" s="2" t="s">
        <v>74</v>
      </c>
      <c r="B33" s="16" t="s">
        <v>75</v>
      </c>
      <c r="C33" s="14" t="s">
        <v>20</v>
      </c>
      <c r="D33" s="6" t="s">
        <v>76</v>
      </c>
      <c r="G33" s="9"/>
      <c r="H33" s="10"/>
      <c r="I33" s="8"/>
      <c r="J33" s="9"/>
      <c r="K33" s="8"/>
      <c r="P33" s="10" t="e">
        <f>VLOOKUP($O33,codetabel!$A$1:$B$12,2,FALSE)</f>
        <v>#N/A</v>
      </c>
      <c r="Q33" s="11"/>
      <c r="R33" s="54" t="str">
        <f t="shared" si="0"/>
        <v/>
      </c>
    </row>
    <row r="34" spans="1:25">
      <c r="A34" s="2" t="s">
        <v>74</v>
      </c>
      <c r="B34" s="16" t="s">
        <v>75</v>
      </c>
      <c r="C34" s="14" t="s">
        <v>22</v>
      </c>
      <c r="D34" s="6" t="s">
        <v>68</v>
      </c>
      <c r="E34" s="7">
        <v>100</v>
      </c>
      <c r="F34" s="3">
        <v>10</v>
      </c>
      <c r="G34" s="9">
        <v>200</v>
      </c>
      <c r="H34" s="10" t="s">
        <v>24</v>
      </c>
      <c r="I34" s="8"/>
      <c r="J34" s="9">
        <v>30</v>
      </c>
      <c r="K34" s="8" t="s">
        <v>25</v>
      </c>
      <c r="L34" s="3">
        <v>3</v>
      </c>
      <c r="M34" s="3" t="s">
        <v>26</v>
      </c>
      <c r="O34" s="9">
        <f>MAX(J34,G34,F34,E34)</f>
        <v>200</v>
      </c>
      <c r="P34" s="10" t="str">
        <f>VLOOKUP($O34,codetabel!$A$1:$B$12,2,FALSE)</f>
        <v>4.1</v>
      </c>
      <c r="Q34" s="11"/>
      <c r="R34" s="54" t="str">
        <f t="shared" si="0"/>
        <v>4.1</v>
      </c>
    </row>
    <row r="35" spans="1:25">
      <c r="A35" s="2" t="s">
        <v>74</v>
      </c>
      <c r="B35" s="16" t="s">
        <v>75</v>
      </c>
      <c r="C35" s="14" t="s">
        <v>46</v>
      </c>
      <c r="D35" s="6" t="s">
        <v>69</v>
      </c>
      <c r="E35" s="7">
        <v>200</v>
      </c>
      <c r="F35" s="3">
        <v>10</v>
      </c>
      <c r="G35" s="9">
        <v>300</v>
      </c>
      <c r="H35" s="10" t="s">
        <v>24</v>
      </c>
      <c r="I35" s="8" t="s">
        <v>70</v>
      </c>
      <c r="J35" s="9">
        <v>50</v>
      </c>
      <c r="K35" s="8" t="s">
        <v>25</v>
      </c>
      <c r="L35" s="3">
        <v>3</v>
      </c>
      <c r="M35" s="3" t="s">
        <v>26</v>
      </c>
      <c r="O35" s="9">
        <f>MAX(J35,G35,F35,E35)</f>
        <v>300</v>
      </c>
      <c r="P35" s="10" t="str">
        <f>VLOOKUP($O35,codetabel!$A$1:$B$12,2,FALSE)</f>
        <v>4.2</v>
      </c>
      <c r="Q35" s="11"/>
      <c r="R35" s="54" t="str">
        <f t="shared" ref="R35:R66" si="2">IF(ISNA(P35),"",P35)</f>
        <v>4.2</v>
      </c>
    </row>
    <row r="36" spans="1:25">
      <c r="A36" s="2" t="s">
        <v>77</v>
      </c>
      <c r="B36" s="16" t="s">
        <v>78</v>
      </c>
      <c r="C36" s="14" t="s">
        <v>20</v>
      </c>
      <c r="D36" s="6" t="s">
        <v>79</v>
      </c>
      <c r="G36" s="9"/>
      <c r="H36" s="10"/>
      <c r="I36" s="8"/>
      <c r="J36" s="9"/>
      <c r="K36" s="8"/>
      <c r="P36" s="10" t="e">
        <f>VLOOKUP($O36,codetabel!$A$1:$B$12,2,FALSE)</f>
        <v>#N/A</v>
      </c>
      <c r="Q36" s="11"/>
      <c r="R36" s="54" t="str">
        <f t="shared" si="2"/>
        <v/>
      </c>
    </row>
    <row r="37" spans="1:25">
      <c r="A37" s="2" t="s">
        <v>77</v>
      </c>
      <c r="B37" s="16" t="s">
        <v>80</v>
      </c>
      <c r="C37" s="14" t="s">
        <v>29</v>
      </c>
      <c r="D37" s="6" t="s">
        <v>81</v>
      </c>
      <c r="E37" s="7">
        <v>50</v>
      </c>
      <c r="F37" s="3">
        <v>0</v>
      </c>
      <c r="G37" s="9">
        <v>100</v>
      </c>
      <c r="H37" s="10" t="s">
        <v>24</v>
      </c>
      <c r="I37" s="8"/>
      <c r="J37" s="9">
        <v>50</v>
      </c>
      <c r="K37" s="8" t="s">
        <v>25</v>
      </c>
      <c r="L37" s="3">
        <v>2</v>
      </c>
      <c r="M37" s="3" t="s">
        <v>26</v>
      </c>
      <c r="O37" s="9">
        <f>MAX(J37,G37,F37,E37)</f>
        <v>100</v>
      </c>
      <c r="P37" s="10" t="str">
        <f>VLOOKUP($O37,codetabel!$A$1:$B$12,2,FALSE)</f>
        <v>3.2</v>
      </c>
      <c r="Q37" s="11"/>
      <c r="R37" s="54" t="str">
        <f t="shared" si="2"/>
        <v>3.2</v>
      </c>
    </row>
    <row r="38" spans="1:25">
      <c r="A38" s="2" t="s">
        <v>77</v>
      </c>
      <c r="B38" s="16" t="s">
        <v>80</v>
      </c>
      <c r="C38" s="14" t="s">
        <v>31</v>
      </c>
      <c r="D38" s="6" t="s">
        <v>82</v>
      </c>
      <c r="E38" s="7">
        <v>100</v>
      </c>
      <c r="F38" s="3">
        <v>0</v>
      </c>
      <c r="G38" s="9">
        <v>300</v>
      </c>
      <c r="H38" s="10" t="s">
        <v>24</v>
      </c>
      <c r="I38" s="8" t="s">
        <v>70</v>
      </c>
      <c r="J38" s="9">
        <v>50</v>
      </c>
      <c r="K38" s="8" t="s">
        <v>25</v>
      </c>
      <c r="L38" s="3">
        <v>3</v>
      </c>
      <c r="M38" s="3" t="s">
        <v>26</v>
      </c>
      <c r="O38" s="9">
        <f>MAX(J38,G38,F38,E38)</f>
        <v>300</v>
      </c>
      <c r="P38" s="10" t="str">
        <f>VLOOKUP($O38,codetabel!$A$1:$B$12,2,FALSE)</f>
        <v>4.2</v>
      </c>
      <c r="Q38" s="11"/>
      <c r="R38" s="54" t="str">
        <f t="shared" si="2"/>
        <v>4.2</v>
      </c>
    </row>
    <row r="39" spans="1:25">
      <c r="A39" s="2" t="s">
        <v>77</v>
      </c>
      <c r="B39" s="16" t="s">
        <v>80</v>
      </c>
      <c r="C39" s="14" t="s">
        <v>33</v>
      </c>
      <c r="D39" s="6" t="s">
        <v>83</v>
      </c>
      <c r="E39" s="7">
        <v>50</v>
      </c>
      <c r="F39" s="3">
        <v>50</v>
      </c>
      <c r="G39" s="9">
        <v>300</v>
      </c>
      <c r="H39" s="10" t="s">
        <v>24</v>
      </c>
      <c r="I39" s="8"/>
      <c r="J39" s="9">
        <v>50</v>
      </c>
      <c r="K39" s="8" t="s">
        <v>25</v>
      </c>
      <c r="L39" s="3">
        <v>3</v>
      </c>
      <c r="M39" s="3" t="s">
        <v>26</v>
      </c>
      <c r="O39" s="9">
        <f>MAX(J39,G39,F39,E39)</f>
        <v>300</v>
      </c>
      <c r="P39" s="10" t="str">
        <f>VLOOKUP($O39,codetabel!$A$1:$B$12,2,FALSE)</f>
        <v>4.2</v>
      </c>
      <c r="Q39" s="11"/>
      <c r="R39" s="54" t="str">
        <f t="shared" si="2"/>
        <v>4.2</v>
      </c>
    </row>
    <row r="40" spans="1:25">
      <c r="A40" s="2" t="s">
        <v>84</v>
      </c>
      <c r="B40" s="16" t="s">
        <v>78</v>
      </c>
      <c r="C40" s="13">
        <v>1</v>
      </c>
      <c r="D40" s="6" t="s">
        <v>85</v>
      </c>
      <c r="E40" s="7">
        <v>50</v>
      </c>
      <c r="F40" s="3">
        <v>0</v>
      </c>
      <c r="G40" s="9">
        <v>100</v>
      </c>
      <c r="H40" s="10" t="s">
        <v>24</v>
      </c>
      <c r="I40" s="8"/>
      <c r="J40" s="9">
        <v>50</v>
      </c>
      <c r="K40" s="8" t="s">
        <v>25</v>
      </c>
      <c r="L40" s="3">
        <v>2</v>
      </c>
      <c r="M40" s="3" t="s">
        <v>26</v>
      </c>
      <c r="O40" s="9">
        <f>MAX(J40,G40,F40,E40)</f>
        <v>100</v>
      </c>
      <c r="P40" s="10" t="str">
        <f>VLOOKUP($O40,codetabel!$A$1:$B$12,2,FALSE)</f>
        <v>3.2</v>
      </c>
      <c r="Q40" s="11"/>
      <c r="R40" s="54" t="str">
        <f t="shared" si="2"/>
        <v>3.2</v>
      </c>
    </row>
    <row r="41" spans="1:25">
      <c r="A41" s="2" t="s">
        <v>84</v>
      </c>
      <c r="B41" s="16" t="s">
        <v>78</v>
      </c>
      <c r="C41" s="14" t="s">
        <v>46</v>
      </c>
      <c r="D41" s="6" t="s">
        <v>86</v>
      </c>
      <c r="E41" s="7">
        <v>10</v>
      </c>
      <c r="F41" s="3">
        <v>0</v>
      </c>
      <c r="G41" s="9">
        <v>30</v>
      </c>
      <c r="H41" s="10"/>
      <c r="I41" s="8"/>
      <c r="J41" s="9">
        <v>0</v>
      </c>
      <c r="K41" s="8"/>
      <c r="L41" s="3">
        <v>1</v>
      </c>
      <c r="M41" s="3" t="s">
        <v>26</v>
      </c>
      <c r="O41" s="9">
        <f>MAX(J41,G41,F41,E41)</f>
        <v>30</v>
      </c>
      <c r="P41" s="10">
        <f>VLOOKUP($O41,codetabel!$A$1:$B$12,2,FALSE)</f>
        <v>2</v>
      </c>
      <c r="Q41" s="11"/>
      <c r="R41" s="54">
        <f t="shared" si="2"/>
        <v>2</v>
      </c>
      <c r="X41" s="3" t="s">
        <v>35</v>
      </c>
      <c r="Y41" s="5"/>
    </row>
    <row r="42" spans="1:25">
      <c r="A42" s="2" t="s">
        <v>87</v>
      </c>
      <c r="B42" s="16" t="s">
        <v>88</v>
      </c>
      <c r="C42" s="14" t="s">
        <v>20</v>
      </c>
      <c r="D42" s="6" t="s">
        <v>89</v>
      </c>
      <c r="G42" s="9"/>
      <c r="H42" s="10"/>
      <c r="I42" s="8"/>
      <c r="J42" s="9"/>
      <c r="K42" s="8"/>
      <c r="P42" s="10" t="e">
        <f>VLOOKUP($O42,codetabel!$A$1:$B$12,2,FALSE)</f>
        <v>#N/A</v>
      </c>
      <c r="Q42" s="11"/>
      <c r="R42" s="54" t="str">
        <f t="shared" si="2"/>
        <v/>
      </c>
    </row>
    <row r="43" spans="1:25">
      <c r="A43" s="2" t="s">
        <v>87</v>
      </c>
      <c r="B43" s="16" t="s">
        <v>88</v>
      </c>
      <c r="C43" s="14" t="s">
        <v>22</v>
      </c>
      <c r="D43" s="6" t="s">
        <v>90</v>
      </c>
      <c r="E43" s="7">
        <v>200</v>
      </c>
      <c r="F43" s="3">
        <v>100</v>
      </c>
      <c r="G43" s="9">
        <v>300</v>
      </c>
      <c r="H43" s="10" t="s">
        <v>24</v>
      </c>
      <c r="I43" s="8" t="s">
        <v>70</v>
      </c>
      <c r="J43" s="9">
        <v>100</v>
      </c>
      <c r="K43" s="8" t="s">
        <v>25</v>
      </c>
      <c r="L43" s="3">
        <v>2</v>
      </c>
      <c r="M43" s="3" t="s">
        <v>26</v>
      </c>
      <c r="O43" s="9">
        <f>MAX(J43,G43,F43,E43)</f>
        <v>300</v>
      </c>
      <c r="P43" s="10" t="str">
        <f>VLOOKUP($O43,codetabel!$A$1:$B$12,2,FALSE)</f>
        <v>4.2</v>
      </c>
      <c r="Q43" s="11"/>
      <c r="R43" s="54" t="str">
        <f t="shared" si="2"/>
        <v>4.2</v>
      </c>
    </row>
    <row r="44" spans="1:25">
      <c r="A44" s="2" t="s">
        <v>87</v>
      </c>
      <c r="B44" s="16" t="s">
        <v>88</v>
      </c>
      <c r="C44" s="14" t="s">
        <v>46</v>
      </c>
      <c r="D44" s="6" t="s">
        <v>91</v>
      </c>
      <c r="E44" s="7">
        <v>100</v>
      </c>
      <c r="F44" s="3">
        <v>50</v>
      </c>
      <c r="G44" s="9">
        <v>200</v>
      </c>
      <c r="H44" s="10" t="s">
        <v>24</v>
      </c>
      <c r="I44" s="8"/>
      <c r="J44" s="9">
        <v>50</v>
      </c>
      <c r="K44" s="8" t="s">
        <v>25</v>
      </c>
      <c r="L44" s="3">
        <v>2</v>
      </c>
      <c r="M44" s="3" t="s">
        <v>26</v>
      </c>
      <c r="O44" s="9">
        <f>MAX(J44,G44,F44,E44)</f>
        <v>200</v>
      </c>
      <c r="P44" s="10" t="str">
        <f>VLOOKUP($O44,codetabel!$A$1:$B$12,2,FALSE)</f>
        <v>4.1</v>
      </c>
      <c r="Q44" s="11"/>
      <c r="R44" s="54" t="str">
        <f t="shared" si="2"/>
        <v>4.1</v>
      </c>
    </row>
    <row r="45" spans="1:25">
      <c r="A45" s="2" t="s">
        <v>87</v>
      </c>
      <c r="B45" s="16" t="s">
        <v>88</v>
      </c>
      <c r="D45" s="6" t="s">
        <v>92</v>
      </c>
      <c r="E45" s="7">
        <v>50</v>
      </c>
      <c r="F45" s="3">
        <v>100</v>
      </c>
      <c r="G45" s="9">
        <v>200</v>
      </c>
      <c r="H45" s="10" t="s">
        <v>24</v>
      </c>
      <c r="I45" s="8"/>
      <c r="J45" s="9">
        <v>50</v>
      </c>
      <c r="K45" s="8"/>
      <c r="L45" s="3">
        <v>2</v>
      </c>
      <c r="M45" s="3" t="s">
        <v>26</v>
      </c>
      <c r="O45" s="9">
        <f>MAX(J45,G45,F45,E45)</f>
        <v>200</v>
      </c>
      <c r="P45" s="10" t="str">
        <f>VLOOKUP($O45,codetabel!$A$1:$B$12,2,FALSE)</f>
        <v>4.1</v>
      </c>
      <c r="Q45" s="11" t="s">
        <v>27</v>
      </c>
      <c r="R45" s="54" t="str">
        <f t="shared" si="2"/>
        <v>4.1</v>
      </c>
    </row>
    <row r="46" spans="1:25">
      <c r="A46" s="2" t="s">
        <v>93</v>
      </c>
      <c r="B46" s="16" t="s">
        <v>94</v>
      </c>
      <c r="C46" s="14" t="s">
        <v>20</v>
      </c>
      <c r="D46" s="6" t="s">
        <v>95</v>
      </c>
      <c r="G46" s="9"/>
      <c r="H46" s="10"/>
      <c r="I46" s="8"/>
      <c r="J46" s="9"/>
      <c r="K46" s="8"/>
      <c r="P46" s="10" t="e">
        <f>VLOOKUP($O46,codetabel!$A$1:$B$12,2,FALSE)</f>
        <v>#N/A</v>
      </c>
      <c r="Q46" s="11"/>
      <c r="R46" s="54" t="str">
        <f t="shared" si="2"/>
        <v/>
      </c>
    </row>
    <row r="47" spans="1:25">
      <c r="A47" s="2" t="s">
        <v>93</v>
      </c>
      <c r="B47" s="16" t="s">
        <v>94</v>
      </c>
      <c r="C47" s="14" t="s">
        <v>22</v>
      </c>
      <c r="D47" s="6" t="s">
        <v>96</v>
      </c>
      <c r="E47" s="7">
        <v>200</v>
      </c>
      <c r="F47" s="3">
        <v>50</v>
      </c>
      <c r="G47" s="9">
        <v>200</v>
      </c>
      <c r="H47" s="10" t="s">
        <v>24</v>
      </c>
      <c r="I47" s="8"/>
      <c r="J47" s="9">
        <v>30</v>
      </c>
      <c r="K47" s="8" t="s">
        <v>25</v>
      </c>
      <c r="L47" s="3">
        <v>1</v>
      </c>
      <c r="M47" s="3" t="s">
        <v>26</v>
      </c>
      <c r="O47" s="9">
        <f>MAX(J47,G47,F47,E47)</f>
        <v>200</v>
      </c>
      <c r="P47" s="10" t="str">
        <f>VLOOKUP($O47,codetabel!$A$1:$B$12,2,FALSE)</f>
        <v>4.1</v>
      </c>
      <c r="Q47" s="11"/>
      <c r="R47" s="54" t="str">
        <f t="shared" si="2"/>
        <v>4.1</v>
      </c>
    </row>
    <row r="48" spans="1:25">
      <c r="A48" s="2" t="s">
        <v>93</v>
      </c>
      <c r="B48" s="16" t="s">
        <v>94</v>
      </c>
      <c r="C48" s="14" t="s">
        <v>46</v>
      </c>
      <c r="D48" s="6" t="s">
        <v>97</v>
      </c>
      <c r="E48" s="7">
        <v>300</v>
      </c>
      <c r="F48" s="3">
        <v>100</v>
      </c>
      <c r="G48" s="9">
        <v>300</v>
      </c>
      <c r="H48" s="10" t="s">
        <v>24</v>
      </c>
      <c r="I48" s="8" t="s">
        <v>70</v>
      </c>
      <c r="J48" s="9">
        <v>50</v>
      </c>
      <c r="K48" s="8" t="s">
        <v>25</v>
      </c>
      <c r="L48" s="3">
        <v>2</v>
      </c>
      <c r="M48" s="3" t="s">
        <v>26</v>
      </c>
      <c r="O48" s="9">
        <f>MAX(J48,G48,F48,E48)</f>
        <v>300</v>
      </c>
      <c r="P48" s="10" t="str">
        <f>VLOOKUP($O48,codetabel!$A$1:$B$12,2,FALSE)</f>
        <v>4.2</v>
      </c>
      <c r="Q48" s="11"/>
      <c r="R48" s="54" t="str">
        <f t="shared" si="2"/>
        <v>4.2</v>
      </c>
    </row>
    <row r="49" spans="1:25">
      <c r="A49" s="2" t="s">
        <v>98</v>
      </c>
      <c r="B49" s="16" t="s">
        <v>99</v>
      </c>
      <c r="C49" s="14" t="s">
        <v>20</v>
      </c>
      <c r="D49" s="6" t="s">
        <v>100</v>
      </c>
      <c r="G49" s="9"/>
      <c r="H49" s="10"/>
      <c r="I49" s="8"/>
      <c r="J49" s="9"/>
      <c r="K49" s="8"/>
      <c r="P49" s="10" t="e">
        <f>VLOOKUP($O49,codetabel!$A$1:$B$12,2,FALSE)</f>
        <v>#N/A</v>
      </c>
      <c r="Q49" s="11"/>
      <c r="R49" s="54" t="str">
        <f t="shared" si="2"/>
        <v/>
      </c>
    </row>
    <row r="50" spans="1:25">
      <c r="A50" s="2" t="s">
        <v>98</v>
      </c>
      <c r="B50" s="16" t="s">
        <v>99</v>
      </c>
      <c r="C50" s="14" t="s">
        <v>29</v>
      </c>
      <c r="D50" s="6" t="s">
        <v>101</v>
      </c>
      <c r="E50" s="7">
        <v>300</v>
      </c>
      <c r="F50" s="3">
        <v>100</v>
      </c>
      <c r="G50" s="9">
        <v>200</v>
      </c>
      <c r="H50" s="10" t="s">
        <v>24</v>
      </c>
      <c r="I50" s="8"/>
      <c r="J50" s="9">
        <v>30</v>
      </c>
      <c r="K50" s="8"/>
      <c r="L50" s="3">
        <v>2</v>
      </c>
      <c r="M50" s="3" t="s">
        <v>26</v>
      </c>
      <c r="O50" s="9">
        <f>MAX(J50,G50,F50,E50)</f>
        <v>300</v>
      </c>
      <c r="P50" s="10" t="str">
        <f>VLOOKUP($O50,codetabel!$A$1:$B$12,2,FALSE)</f>
        <v>4.2</v>
      </c>
      <c r="Q50" s="11"/>
      <c r="R50" s="54" t="str">
        <f t="shared" si="2"/>
        <v>4.2</v>
      </c>
    </row>
    <row r="51" spans="1:25">
      <c r="A51" s="2" t="s">
        <v>98</v>
      </c>
      <c r="B51" s="16" t="s">
        <v>99</v>
      </c>
      <c r="C51" s="14" t="s">
        <v>33</v>
      </c>
      <c r="D51" s="6" t="s">
        <v>102</v>
      </c>
      <c r="E51" s="7">
        <v>200</v>
      </c>
      <c r="F51" s="3">
        <v>50</v>
      </c>
      <c r="G51" s="9">
        <v>200</v>
      </c>
      <c r="H51" s="10" t="s">
        <v>24</v>
      </c>
      <c r="I51" s="8"/>
      <c r="J51" s="9">
        <v>30</v>
      </c>
      <c r="K51" s="8"/>
      <c r="L51" s="3">
        <v>3</v>
      </c>
      <c r="M51" s="3" t="s">
        <v>26</v>
      </c>
      <c r="O51" s="9">
        <f>MAX(J51,G51,F51,E51)</f>
        <v>200</v>
      </c>
      <c r="P51" s="10" t="str">
        <f>VLOOKUP($O51,codetabel!$A$1:$B$12,2,FALSE)</f>
        <v>4.1</v>
      </c>
      <c r="Q51" s="11"/>
      <c r="R51" s="54" t="str">
        <f t="shared" si="2"/>
        <v>4.1</v>
      </c>
    </row>
    <row r="52" spans="1:25">
      <c r="A52" s="2" t="s">
        <v>98</v>
      </c>
      <c r="B52" s="16" t="s">
        <v>99</v>
      </c>
      <c r="C52" s="14" t="s">
        <v>36</v>
      </c>
      <c r="D52" s="6" t="s">
        <v>103</v>
      </c>
      <c r="E52" s="7">
        <v>300</v>
      </c>
      <c r="F52" s="3">
        <v>100</v>
      </c>
      <c r="G52" s="9">
        <v>300</v>
      </c>
      <c r="H52" s="10" t="s">
        <v>24</v>
      </c>
      <c r="I52" s="8" t="s">
        <v>70</v>
      </c>
      <c r="J52" s="9">
        <v>50</v>
      </c>
      <c r="K52" s="8" t="s">
        <v>25</v>
      </c>
      <c r="L52" s="3">
        <v>3</v>
      </c>
      <c r="M52" s="3" t="s">
        <v>26</v>
      </c>
      <c r="O52" s="9">
        <f>MAX(J52,G52,F52,E52)</f>
        <v>300</v>
      </c>
      <c r="P52" s="10" t="str">
        <f>VLOOKUP($O52,codetabel!$A$1:$B$12,2,FALSE)</f>
        <v>4.2</v>
      </c>
      <c r="Q52" s="11"/>
      <c r="R52" s="54" t="str">
        <f t="shared" si="2"/>
        <v>4.2</v>
      </c>
    </row>
    <row r="53" spans="1:25">
      <c r="A53" s="2" t="s">
        <v>104</v>
      </c>
      <c r="B53" s="16" t="s">
        <v>105</v>
      </c>
      <c r="D53" s="6" t="s">
        <v>106</v>
      </c>
      <c r="E53" s="7">
        <v>200</v>
      </c>
      <c r="F53" s="3">
        <v>100</v>
      </c>
      <c r="G53" s="9">
        <v>200</v>
      </c>
      <c r="H53" s="10" t="s">
        <v>24</v>
      </c>
      <c r="I53" s="8"/>
      <c r="J53" s="9">
        <v>30</v>
      </c>
      <c r="K53" s="8"/>
      <c r="L53" s="3">
        <v>2</v>
      </c>
      <c r="M53" s="3" t="s">
        <v>26</v>
      </c>
      <c r="O53" s="9">
        <f>MAX(J53,G53,F53,E53)</f>
        <v>200</v>
      </c>
      <c r="P53" s="10" t="str">
        <f>VLOOKUP($O53,codetabel!$A$1:$B$12,2,FALSE)</f>
        <v>4.1</v>
      </c>
      <c r="Q53" s="11"/>
      <c r="R53" s="54" t="str">
        <f t="shared" si="2"/>
        <v>4.1</v>
      </c>
    </row>
    <row r="54" spans="1:25">
      <c r="A54" s="2" t="s">
        <v>107</v>
      </c>
      <c r="B54" s="16" t="s">
        <v>108</v>
      </c>
      <c r="C54" s="14" t="s">
        <v>20</v>
      </c>
      <c r="D54" s="6" t="s">
        <v>109</v>
      </c>
      <c r="G54" s="9"/>
      <c r="H54" s="10"/>
      <c r="I54" s="8"/>
      <c r="J54" s="9"/>
      <c r="K54" s="8"/>
      <c r="P54" s="10" t="e">
        <f>VLOOKUP($O54,codetabel!$A$1:$B$12,2,FALSE)</f>
        <v>#N/A</v>
      </c>
      <c r="Q54" s="11"/>
      <c r="R54" s="54" t="str">
        <f t="shared" si="2"/>
        <v/>
      </c>
    </row>
    <row r="55" spans="1:25">
      <c r="A55" s="2" t="s">
        <v>107</v>
      </c>
      <c r="B55" s="16" t="s">
        <v>108</v>
      </c>
      <c r="C55" s="14" t="s">
        <v>22</v>
      </c>
      <c r="D55" s="6" t="s">
        <v>110</v>
      </c>
      <c r="E55" s="7">
        <v>30</v>
      </c>
      <c r="F55" s="3">
        <v>10</v>
      </c>
      <c r="G55" s="9">
        <v>30</v>
      </c>
      <c r="H55" s="10" t="s">
        <v>24</v>
      </c>
      <c r="I55" s="8"/>
      <c r="J55" s="9">
        <v>10</v>
      </c>
      <c r="K55" s="8"/>
      <c r="L55" s="3">
        <v>1</v>
      </c>
      <c r="M55" s="3" t="s">
        <v>26</v>
      </c>
      <c r="O55" s="9">
        <f>MAX(J55,G55,F55,E55)</f>
        <v>30</v>
      </c>
      <c r="P55" s="10">
        <f>VLOOKUP($O55,codetabel!$A$1:$B$12,2,FALSE)</f>
        <v>2</v>
      </c>
      <c r="Q55" s="11"/>
      <c r="R55" s="54">
        <f t="shared" si="2"/>
        <v>2</v>
      </c>
    </row>
    <row r="56" spans="1:25">
      <c r="A56" s="2" t="s">
        <v>107</v>
      </c>
      <c r="B56" s="16" t="s">
        <v>108</v>
      </c>
      <c r="C56" s="14" t="s">
        <v>46</v>
      </c>
      <c r="D56" s="6" t="s">
        <v>111</v>
      </c>
      <c r="E56" s="7">
        <v>100</v>
      </c>
      <c r="F56" s="3">
        <v>30</v>
      </c>
      <c r="G56" s="9">
        <v>100</v>
      </c>
      <c r="H56" s="10" t="s">
        <v>24</v>
      </c>
      <c r="I56" s="8"/>
      <c r="J56" s="9">
        <v>30</v>
      </c>
      <c r="K56" s="8"/>
      <c r="L56" s="3">
        <v>2</v>
      </c>
      <c r="M56" s="3" t="s">
        <v>26</v>
      </c>
      <c r="O56" s="9">
        <f>MAX(J56,G56,F56,E56)</f>
        <v>100</v>
      </c>
      <c r="P56" s="10" t="str">
        <f>VLOOKUP($O56,codetabel!$A$1:$B$12,2,FALSE)</f>
        <v>3.2</v>
      </c>
      <c r="Q56" s="11"/>
      <c r="R56" s="54" t="str">
        <f t="shared" si="2"/>
        <v>3.2</v>
      </c>
    </row>
    <row r="57" spans="1:25">
      <c r="A57" s="2" t="s">
        <v>112</v>
      </c>
      <c r="B57" s="16" t="s">
        <v>113</v>
      </c>
      <c r="D57" s="6" t="s">
        <v>114</v>
      </c>
      <c r="E57" s="7">
        <v>100</v>
      </c>
      <c r="F57" s="3">
        <v>10</v>
      </c>
      <c r="G57" s="9">
        <v>100</v>
      </c>
      <c r="H57" s="10" t="s">
        <v>24</v>
      </c>
      <c r="I57" s="8"/>
      <c r="J57" s="9">
        <v>30</v>
      </c>
      <c r="K57" s="8"/>
      <c r="L57" s="3">
        <v>2</v>
      </c>
      <c r="M57" s="3" t="s">
        <v>26</v>
      </c>
      <c r="O57" s="9">
        <f>MAX(J57,G57,F57,E57)</f>
        <v>100</v>
      </c>
      <c r="P57" s="10" t="str">
        <f>VLOOKUP($O57,codetabel!$A$1:$B$12,2,FALSE)</f>
        <v>3.2</v>
      </c>
      <c r="Q57" s="11"/>
      <c r="R57" s="54" t="str">
        <f t="shared" si="2"/>
        <v>3.2</v>
      </c>
    </row>
    <row r="58" spans="1:25">
      <c r="A58" s="2" t="s">
        <v>115</v>
      </c>
      <c r="B58" s="16" t="s">
        <v>116</v>
      </c>
      <c r="C58" s="14" t="s">
        <v>20</v>
      </c>
      <c r="D58" s="6" t="s">
        <v>117</v>
      </c>
      <c r="G58" s="9"/>
      <c r="H58" s="10"/>
      <c r="I58" s="8"/>
      <c r="J58" s="9"/>
      <c r="K58" s="8"/>
      <c r="P58" s="10" t="e">
        <f>VLOOKUP($O58,codetabel!$A$1:$B$12,2,FALSE)</f>
        <v>#N/A</v>
      </c>
      <c r="Q58" s="11"/>
      <c r="R58" s="54" t="str">
        <f t="shared" si="2"/>
        <v/>
      </c>
    </row>
    <row r="59" spans="1:25">
      <c r="A59" s="2" t="s">
        <v>118</v>
      </c>
      <c r="B59" s="16" t="s">
        <v>119</v>
      </c>
      <c r="C59" s="14" t="s">
        <v>20</v>
      </c>
      <c r="D59" s="6" t="s">
        <v>120</v>
      </c>
      <c r="G59" s="9"/>
      <c r="H59" s="10"/>
      <c r="I59" s="8"/>
      <c r="J59" s="9"/>
      <c r="K59" s="8"/>
      <c r="P59" s="10" t="e">
        <f>VLOOKUP($O59,codetabel!$A$1:$B$12,2,FALSE)</f>
        <v>#N/A</v>
      </c>
      <c r="Q59" s="11"/>
      <c r="R59" s="54" t="str">
        <f t="shared" si="2"/>
        <v/>
      </c>
    </row>
    <row r="60" spans="1:25" ht="22.5">
      <c r="A60" s="2" t="s">
        <v>118</v>
      </c>
      <c r="B60" s="16" t="s">
        <v>119</v>
      </c>
      <c r="C60" s="14" t="s">
        <v>46</v>
      </c>
      <c r="D60" s="6" t="s">
        <v>121</v>
      </c>
      <c r="E60" s="7">
        <v>100</v>
      </c>
      <c r="F60" s="3">
        <v>30</v>
      </c>
      <c r="G60" s="9">
        <v>50</v>
      </c>
      <c r="H60" s="10"/>
      <c r="I60" s="8"/>
      <c r="J60" s="9">
        <v>30</v>
      </c>
      <c r="K60" s="8"/>
      <c r="L60" s="3">
        <v>2</v>
      </c>
      <c r="M60" s="3" t="s">
        <v>26</v>
      </c>
      <c r="O60" s="9">
        <f>MAX(J60,G60,F60,E60)</f>
        <v>100</v>
      </c>
      <c r="P60" s="10" t="str">
        <f>VLOOKUP($O60,codetabel!$A$1:$B$12,2,FALSE)</f>
        <v>3.2</v>
      </c>
      <c r="Q60" s="11"/>
      <c r="R60" s="54" t="str">
        <f t="shared" si="2"/>
        <v>3.2</v>
      </c>
      <c r="X60" s="3" t="s">
        <v>35</v>
      </c>
      <c r="Y60" s="5"/>
    </row>
    <row r="61" spans="1:25">
      <c r="A61" s="2" t="s">
        <v>118</v>
      </c>
      <c r="B61" s="16" t="s">
        <v>119</v>
      </c>
      <c r="C61" s="14" t="s">
        <v>31</v>
      </c>
      <c r="D61" s="6" t="s">
        <v>122</v>
      </c>
      <c r="E61" s="7">
        <v>300</v>
      </c>
      <c r="F61" s="3">
        <v>30</v>
      </c>
      <c r="G61" s="9">
        <v>50</v>
      </c>
      <c r="H61" s="10"/>
      <c r="I61" s="8"/>
      <c r="J61" s="9">
        <v>30</v>
      </c>
      <c r="K61" s="8" t="s">
        <v>25</v>
      </c>
      <c r="L61" s="3">
        <v>2</v>
      </c>
      <c r="M61" s="3" t="s">
        <v>26</v>
      </c>
      <c r="O61" s="9">
        <f>MAX(J61,G61,F61,E61)</f>
        <v>300</v>
      </c>
      <c r="P61" s="10" t="str">
        <f>VLOOKUP($O61,codetabel!$A$1:$B$12,2,FALSE)</f>
        <v>4.2</v>
      </c>
      <c r="Q61" s="11"/>
      <c r="R61" s="54" t="str">
        <f t="shared" si="2"/>
        <v>4.2</v>
      </c>
    </row>
    <row r="62" spans="1:25">
      <c r="A62" s="2" t="s">
        <v>118</v>
      </c>
      <c r="B62" s="16" t="s">
        <v>119</v>
      </c>
      <c r="C62" s="14" t="s">
        <v>33</v>
      </c>
      <c r="D62" s="6" t="s">
        <v>123</v>
      </c>
      <c r="E62" s="7">
        <v>100</v>
      </c>
      <c r="F62" s="3">
        <v>30</v>
      </c>
      <c r="G62" s="9">
        <v>50</v>
      </c>
      <c r="H62" s="10"/>
      <c r="I62" s="8"/>
      <c r="J62" s="9">
        <v>30</v>
      </c>
      <c r="K62" s="8" t="s">
        <v>25</v>
      </c>
      <c r="L62" s="3">
        <v>2</v>
      </c>
      <c r="M62" s="3" t="s">
        <v>26</v>
      </c>
      <c r="O62" s="9">
        <f>MAX(J62,G62,F62,E62)</f>
        <v>100</v>
      </c>
      <c r="P62" s="10" t="str">
        <f>VLOOKUP($O62,codetabel!$A$1:$B$12,2,FALSE)</f>
        <v>3.2</v>
      </c>
      <c r="Q62" s="11"/>
      <c r="R62" s="54" t="str">
        <f t="shared" si="2"/>
        <v>3.2</v>
      </c>
    </row>
    <row r="63" spans="1:25">
      <c r="A63" s="2" t="s">
        <v>124</v>
      </c>
      <c r="B63" s="16" t="s">
        <v>125</v>
      </c>
      <c r="D63" s="6" t="s">
        <v>126</v>
      </c>
      <c r="E63" s="7">
        <v>50</v>
      </c>
      <c r="F63" s="3">
        <v>30</v>
      </c>
      <c r="G63" s="9">
        <v>10</v>
      </c>
      <c r="H63" s="10"/>
      <c r="I63" s="8"/>
      <c r="J63" s="9">
        <v>10</v>
      </c>
      <c r="K63" s="8"/>
      <c r="L63" s="3">
        <v>2</v>
      </c>
      <c r="M63" s="3" t="s">
        <v>26</v>
      </c>
      <c r="O63" s="9">
        <f>MAX(J63,G63,F63,E63)</f>
        <v>50</v>
      </c>
      <c r="P63" s="10" t="str">
        <f>VLOOKUP($O63,codetabel!$A$1:$B$12,2,FALSE)</f>
        <v>3.1</v>
      </c>
      <c r="Q63" s="11"/>
      <c r="R63" s="54" t="str">
        <f t="shared" si="2"/>
        <v>3.1</v>
      </c>
    </row>
    <row r="64" spans="1:25">
      <c r="A64" s="2" t="s">
        <v>127</v>
      </c>
      <c r="B64" s="16" t="s">
        <v>128</v>
      </c>
      <c r="C64" s="14" t="s">
        <v>20</v>
      </c>
      <c r="D64" s="6" t="s">
        <v>129</v>
      </c>
      <c r="G64" s="9"/>
      <c r="H64" s="10"/>
      <c r="I64" s="8"/>
      <c r="J64" s="9"/>
      <c r="K64" s="8"/>
      <c r="P64" s="10" t="e">
        <f>VLOOKUP($O64,codetabel!$A$1:$B$12,2,FALSE)</f>
        <v>#N/A</v>
      </c>
      <c r="Q64" s="11"/>
      <c r="R64" s="54" t="str">
        <f t="shared" si="2"/>
        <v/>
      </c>
    </row>
    <row r="65" spans="1:18">
      <c r="A65" s="2" t="s">
        <v>127</v>
      </c>
      <c r="B65" s="16" t="s">
        <v>128</v>
      </c>
      <c r="C65" s="14" t="s">
        <v>46</v>
      </c>
      <c r="D65" s="6" t="s">
        <v>130</v>
      </c>
      <c r="E65" s="7">
        <v>100</v>
      </c>
      <c r="F65" s="3">
        <v>10</v>
      </c>
      <c r="G65" s="9">
        <v>30</v>
      </c>
      <c r="H65" s="10"/>
      <c r="I65" s="8"/>
      <c r="J65" s="9">
        <v>10</v>
      </c>
      <c r="K65" s="8"/>
      <c r="L65" s="3">
        <v>2</v>
      </c>
      <c r="M65" s="3" t="s">
        <v>26</v>
      </c>
      <c r="O65" s="9">
        <f>MAX(J65,G65,F65,E65)</f>
        <v>100</v>
      </c>
      <c r="P65" s="10" t="str">
        <f>VLOOKUP($O65,codetabel!$A$1:$B$12,2,FALSE)</f>
        <v>3.2</v>
      </c>
      <c r="Q65" s="11"/>
      <c r="R65" s="54" t="str">
        <f t="shared" si="2"/>
        <v>3.2</v>
      </c>
    </row>
    <row r="66" spans="1:18">
      <c r="A66" s="2" t="s">
        <v>131</v>
      </c>
      <c r="B66" s="16" t="s">
        <v>132</v>
      </c>
      <c r="D66" s="6" t="s">
        <v>133</v>
      </c>
      <c r="E66" s="7">
        <v>200</v>
      </c>
      <c r="F66" s="3">
        <v>30</v>
      </c>
      <c r="G66" s="9">
        <v>50</v>
      </c>
      <c r="H66" s="10"/>
      <c r="I66" s="8"/>
      <c r="J66" s="9">
        <v>10</v>
      </c>
      <c r="K66" s="8"/>
      <c r="L66" s="3">
        <v>2</v>
      </c>
      <c r="M66" s="3" t="s">
        <v>26</v>
      </c>
      <c r="O66" s="9">
        <f>MAX(J66,G66,F66,E66)</f>
        <v>200</v>
      </c>
      <c r="P66" s="10" t="str">
        <f>VLOOKUP($O66,codetabel!$A$1:$B$12,2,FALSE)</f>
        <v>4.1</v>
      </c>
      <c r="Q66" s="11"/>
      <c r="R66" s="54" t="str">
        <f t="shared" si="2"/>
        <v>4.1</v>
      </c>
    </row>
    <row r="67" spans="1:18">
      <c r="A67" s="2" t="s">
        <v>134</v>
      </c>
      <c r="B67" s="16" t="s">
        <v>135</v>
      </c>
      <c r="D67" s="6" t="s">
        <v>136</v>
      </c>
      <c r="E67" s="7">
        <v>200</v>
      </c>
      <c r="F67" s="3">
        <v>30</v>
      </c>
      <c r="G67" s="9">
        <v>50</v>
      </c>
      <c r="H67" s="10"/>
      <c r="I67" s="8"/>
      <c r="J67" s="9">
        <v>30</v>
      </c>
      <c r="K67" s="8"/>
      <c r="L67" s="3">
        <v>2</v>
      </c>
      <c r="M67" s="3" t="s">
        <v>26</v>
      </c>
      <c r="O67" s="9">
        <f>MAX(J67,G67,F67,E67)</f>
        <v>200</v>
      </c>
      <c r="P67" s="10" t="str">
        <f>VLOOKUP($O67,codetabel!$A$1:$B$12,2,FALSE)</f>
        <v>4.1</v>
      </c>
      <c r="Q67" s="11" t="s">
        <v>27</v>
      </c>
      <c r="R67" s="54" t="str">
        <f t="shared" ref="R67:R100" si="3">IF(ISNA(P67),"",P67)</f>
        <v>4.1</v>
      </c>
    </row>
    <row r="68" spans="1:18">
      <c r="A68" s="2" t="s">
        <v>137</v>
      </c>
      <c r="B68" s="16" t="s">
        <v>135</v>
      </c>
      <c r="D68" s="6" t="s">
        <v>138</v>
      </c>
      <c r="E68" s="7">
        <v>200</v>
      </c>
      <c r="F68" s="3">
        <v>50</v>
      </c>
      <c r="G68" s="9">
        <v>50</v>
      </c>
      <c r="H68" s="10"/>
      <c r="I68" s="8"/>
      <c r="J68" s="9">
        <v>50</v>
      </c>
      <c r="K68" s="8" t="s">
        <v>25</v>
      </c>
      <c r="L68" s="3">
        <v>2</v>
      </c>
      <c r="M68" s="3" t="s">
        <v>26</v>
      </c>
      <c r="O68" s="9">
        <f>MAX(J68,G68,F68,E68)</f>
        <v>200</v>
      </c>
      <c r="P68" s="10" t="str">
        <f>VLOOKUP($O68,codetabel!$A$1:$B$12,2,FALSE)</f>
        <v>4.1</v>
      </c>
      <c r="Q68" s="11"/>
      <c r="R68" s="54" t="str">
        <f t="shared" si="3"/>
        <v>4.1</v>
      </c>
    </row>
    <row r="69" spans="1:18">
      <c r="A69" s="2" t="s">
        <v>139</v>
      </c>
      <c r="B69" s="16" t="s">
        <v>135</v>
      </c>
      <c r="C69" s="14" t="s">
        <v>20</v>
      </c>
      <c r="D69" s="6" t="s">
        <v>140</v>
      </c>
      <c r="G69" s="9"/>
      <c r="H69" s="10"/>
      <c r="I69" s="8"/>
      <c r="J69" s="9"/>
      <c r="K69" s="8"/>
      <c r="P69" s="10" t="e">
        <f>VLOOKUP($O69,codetabel!$A$1:$B$12,2,FALSE)</f>
        <v>#N/A</v>
      </c>
      <c r="Q69" s="11"/>
      <c r="R69" s="54" t="str">
        <f t="shared" si="3"/>
        <v/>
      </c>
    </row>
    <row r="70" spans="1:18">
      <c r="A70" s="2" t="s">
        <v>139</v>
      </c>
      <c r="B70" s="16" t="s">
        <v>135</v>
      </c>
      <c r="C70" s="14" t="s">
        <v>22</v>
      </c>
      <c r="D70" s="6" t="s">
        <v>141</v>
      </c>
      <c r="E70" s="7">
        <v>100</v>
      </c>
      <c r="F70" s="3">
        <v>10</v>
      </c>
      <c r="G70" s="9">
        <v>50</v>
      </c>
      <c r="H70" s="10"/>
      <c r="I70" s="8"/>
      <c r="J70" s="9">
        <v>10</v>
      </c>
      <c r="K70" s="8"/>
      <c r="L70" s="3">
        <v>2</v>
      </c>
      <c r="M70" s="3" t="s">
        <v>26</v>
      </c>
      <c r="O70" s="9">
        <f>MAX(J70,G70,F70,E70)</f>
        <v>100</v>
      </c>
      <c r="P70" s="10" t="str">
        <f>VLOOKUP($O70,codetabel!$A$1:$B$12,2,FALSE)</f>
        <v>3.2</v>
      </c>
      <c r="Q70" s="11"/>
      <c r="R70" s="54" t="str">
        <f t="shared" si="3"/>
        <v>3.2</v>
      </c>
    </row>
    <row r="71" spans="1:18">
      <c r="A71" s="2" t="s">
        <v>139</v>
      </c>
      <c r="B71" s="16" t="s">
        <v>135</v>
      </c>
      <c r="C71" s="14" t="s">
        <v>46</v>
      </c>
      <c r="D71" s="6" t="s">
        <v>142</v>
      </c>
      <c r="E71" s="7">
        <v>300</v>
      </c>
      <c r="F71" s="3">
        <v>50</v>
      </c>
      <c r="G71" s="9">
        <v>50</v>
      </c>
      <c r="H71" s="10"/>
      <c r="I71" s="8"/>
      <c r="J71" s="9">
        <v>50</v>
      </c>
      <c r="K71" s="8" t="s">
        <v>25</v>
      </c>
      <c r="L71" s="3">
        <v>2</v>
      </c>
      <c r="M71" s="3" t="s">
        <v>26</v>
      </c>
      <c r="O71" s="9">
        <f>MAX(J71,G71,F71,E71)</f>
        <v>300</v>
      </c>
      <c r="P71" s="10" t="str">
        <f>VLOOKUP($O71,codetabel!$A$1:$B$12,2,FALSE)</f>
        <v>4.2</v>
      </c>
      <c r="Q71" s="11"/>
      <c r="R71" s="54" t="str">
        <f t="shared" si="3"/>
        <v>4.2</v>
      </c>
    </row>
    <row r="72" spans="1:18">
      <c r="A72" s="2" t="s">
        <v>139</v>
      </c>
      <c r="B72" s="16" t="s">
        <v>135</v>
      </c>
      <c r="D72" s="6" t="s">
        <v>143</v>
      </c>
      <c r="E72" s="7">
        <v>200</v>
      </c>
      <c r="F72" s="3">
        <v>50</v>
      </c>
      <c r="G72" s="9">
        <v>50</v>
      </c>
      <c r="H72" s="10"/>
      <c r="I72" s="8"/>
      <c r="J72" s="9">
        <v>30</v>
      </c>
      <c r="K72" s="8"/>
      <c r="L72" s="3">
        <v>2</v>
      </c>
      <c r="M72" s="3" t="s">
        <v>26</v>
      </c>
      <c r="O72" s="9">
        <f>MAX(J72,G72,F72,E72)</f>
        <v>200</v>
      </c>
      <c r="P72" s="10" t="str">
        <f>VLOOKUP($O72,codetabel!$A$1:$B$12,2,FALSE)</f>
        <v>4.1</v>
      </c>
      <c r="Q72" s="11"/>
      <c r="R72" s="54" t="str">
        <f t="shared" si="3"/>
        <v>4.1</v>
      </c>
    </row>
    <row r="73" spans="1:18">
      <c r="A73" s="2" t="s">
        <v>144</v>
      </c>
      <c r="B73" s="16" t="s">
        <v>145</v>
      </c>
      <c r="D73" s="6" t="s">
        <v>146</v>
      </c>
      <c r="E73" s="7">
        <v>300</v>
      </c>
      <c r="F73" s="3">
        <v>30</v>
      </c>
      <c r="G73" s="9">
        <v>200</v>
      </c>
      <c r="H73" s="10" t="s">
        <v>24</v>
      </c>
      <c r="I73" s="8"/>
      <c r="J73" s="9">
        <v>30</v>
      </c>
      <c r="K73" s="8"/>
      <c r="L73" s="3">
        <v>2</v>
      </c>
      <c r="M73" s="3" t="s">
        <v>26</v>
      </c>
      <c r="O73" s="9">
        <f>MAX(J73,G73,F73,E73)</f>
        <v>300</v>
      </c>
      <c r="P73" s="10" t="str">
        <f>VLOOKUP($O73,codetabel!$A$1:$B$12,2,FALSE)</f>
        <v>4.2</v>
      </c>
      <c r="Q73" s="11"/>
      <c r="R73" s="54" t="str">
        <f t="shared" si="3"/>
        <v>4.2</v>
      </c>
    </row>
    <row r="74" spans="1:18">
      <c r="A74" s="2" t="s">
        <v>147</v>
      </c>
      <c r="B74" s="16" t="s">
        <v>148</v>
      </c>
      <c r="C74" s="14" t="s">
        <v>20</v>
      </c>
      <c r="D74" s="6" t="s">
        <v>149</v>
      </c>
      <c r="G74" s="9"/>
      <c r="H74" s="10"/>
      <c r="I74" s="8"/>
      <c r="J74" s="9"/>
      <c r="K74" s="8"/>
      <c r="P74" s="10" t="e">
        <f>VLOOKUP($O74,codetabel!$A$1:$B$12,2,FALSE)</f>
        <v>#N/A</v>
      </c>
      <c r="Q74" s="11"/>
      <c r="R74" s="54" t="str">
        <f t="shared" si="3"/>
        <v/>
      </c>
    </row>
    <row r="75" spans="1:18">
      <c r="A75" s="2" t="s">
        <v>147</v>
      </c>
      <c r="B75" s="16" t="s">
        <v>148</v>
      </c>
      <c r="C75" s="14" t="s">
        <v>22</v>
      </c>
      <c r="D75" s="6" t="s">
        <v>150</v>
      </c>
      <c r="E75" s="7">
        <v>200</v>
      </c>
      <c r="F75" s="3">
        <v>30</v>
      </c>
      <c r="G75" s="9">
        <v>200</v>
      </c>
      <c r="H75" s="10" t="s">
        <v>24</v>
      </c>
      <c r="I75" s="8"/>
      <c r="J75" s="9">
        <v>30</v>
      </c>
      <c r="K75" s="8" t="s">
        <v>25</v>
      </c>
      <c r="L75" s="3">
        <v>1</v>
      </c>
      <c r="M75" s="3" t="s">
        <v>26</v>
      </c>
      <c r="O75" s="9">
        <f>MAX(J75,G75,F75,E75)</f>
        <v>200</v>
      </c>
      <c r="P75" s="10" t="str">
        <f>VLOOKUP($O75,codetabel!$A$1:$B$12,2,FALSE)</f>
        <v>4.1</v>
      </c>
      <c r="Q75" s="11"/>
      <c r="R75" s="54" t="str">
        <f t="shared" si="3"/>
        <v>4.1</v>
      </c>
    </row>
    <row r="76" spans="1:18">
      <c r="A76" s="2" t="s">
        <v>147</v>
      </c>
      <c r="B76" s="16" t="s">
        <v>148</v>
      </c>
      <c r="C76" s="14" t="s">
        <v>46</v>
      </c>
      <c r="D76" s="6" t="s">
        <v>151</v>
      </c>
      <c r="E76" s="7">
        <v>300</v>
      </c>
      <c r="F76" s="3">
        <v>50</v>
      </c>
      <c r="G76" s="9">
        <v>300</v>
      </c>
      <c r="H76" s="10" t="s">
        <v>24</v>
      </c>
      <c r="I76" s="8"/>
      <c r="J76" s="9">
        <v>50</v>
      </c>
      <c r="K76" s="8" t="s">
        <v>25</v>
      </c>
      <c r="L76" s="3">
        <v>2</v>
      </c>
      <c r="M76" s="3" t="s">
        <v>26</v>
      </c>
      <c r="O76" s="9">
        <f>MAX(J76,G76,F76,E76)</f>
        <v>300</v>
      </c>
      <c r="P76" s="10" t="str">
        <f>VLOOKUP($O76,codetabel!$A$1:$B$12,2,FALSE)</f>
        <v>4.2</v>
      </c>
      <c r="Q76" s="11"/>
      <c r="R76" s="54" t="str">
        <f t="shared" si="3"/>
        <v>4.2</v>
      </c>
    </row>
    <row r="77" spans="1:18">
      <c r="A77" s="2" t="s">
        <v>152</v>
      </c>
      <c r="B77" s="16" t="s">
        <v>153</v>
      </c>
      <c r="D77" s="6" t="s">
        <v>154</v>
      </c>
      <c r="E77" s="7">
        <v>300</v>
      </c>
      <c r="F77" s="3">
        <v>30</v>
      </c>
      <c r="G77" s="9">
        <v>100</v>
      </c>
      <c r="H77" s="10" t="s">
        <v>24</v>
      </c>
      <c r="I77" s="8"/>
      <c r="J77" s="9">
        <v>50</v>
      </c>
      <c r="K77" s="8" t="s">
        <v>25</v>
      </c>
      <c r="L77" s="3">
        <v>2</v>
      </c>
      <c r="M77" s="3" t="s">
        <v>26</v>
      </c>
      <c r="O77" s="9">
        <f>MAX(J77,G77,F77,E77)</f>
        <v>300</v>
      </c>
      <c r="P77" s="10" t="str">
        <f>VLOOKUP($O77,codetabel!$A$1:$B$12,2,FALSE)</f>
        <v>4.2</v>
      </c>
      <c r="Q77" s="11"/>
      <c r="R77" s="54" t="str">
        <f t="shared" si="3"/>
        <v>4.2</v>
      </c>
    </row>
    <row r="78" spans="1:18">
      <c r="A78" s="2" t="s">
        <v>155</v>
      </c>
      <c r="B78" s="16" t="s">
        <v>156</v>
      </c>
      <c r="D78" s="6" t="s">
        <v>157</v>
      </c>
      <c r="E78" s="7">
        <v>300</v>
      </c>
      <c r="F78" s="3">
        <v>50</v>
      </c>
      <c r="G78" s="9">
        <v>100</v>
      </c>
      <c r="H78" s="10" t="s">
        <v>24</v>
      </c>
      <c r="I78" s="8"/>
      <c r="J78" s="9">
        <v>30</v>
      </c>
      <c r="K78" s="8"/>
      <c r="L78" s="3">
        <v>2</v>
      </c>
      <c r="M78" s="3" t="s">
        <v>26</v>
      </c>
      <c r="O78" s="9">
        <f>MAX(J78,G78,F78,E78)</f>
        <v>300</v>
      </c>
      <c r="P78" s="10" t="str">
        <f>VLOOKUP($O78,codetabel!$A$1:$B$12,2,FALSE)</f>
        <v>4.2</v>
      </c>
      <c r="Q78" s="11"/>
      <c r="R78" s="54" t="str">
        <f t="shared" si="3"/>
        <v>4.2</v>
      </c>
    </row>
    <row r="79" spans="1:18">
      <c r="A79" s="2" t="s">
        <v>158</v>
      </c>
      <c r="B79" s="16" t="s">
        <v>159</v>
      </c>
      <c r="D79" s="6" t="s">
        <v>160</v>
      </c>
      <c r="E79" s="7">
        <v>10</v>
      </c>
      <c r="F79" s="3">
        <v>0</v>
      </c>
      <c r="G79" s="9">
        <v>100</v>
      </c>
      <c r="H79" s="10"/>
      <c r="I79" s="8"/>
      <c r="J79" s="9">
        <v>50</v>
      </c>
      <c r="K79" s="8" t="s">
        <v>25</v>
      </c>
      <c r="L79" s="3">
        <v>3</v>
      </c>
      <c r="M79" s="3" t="s">
        <v>26</v>
      </c>
      <c r="O79" s="9">
        <f>MAX(J79,G79,F79,E79)</f>
        <v>100</v>
      </c>
      <c r="P79" s="10" t="str">
        <f>VLOOKUP($O79,codetabel!$A$1:$B$12,2,FALSE)</f>
        <v>3.2</v>
      </c>
      <c r="Q79" s="11"/>
      <c r="R79" s="54" t="str">
        <f t="shared" si="3"/>
        <v>3.2</v>
      </c>
    </row>
    <row r="80" spans="1:18">
      <c r="A80" s="2" t="s">
        <v>161</v>
      </c>
      <c r="B80" s="16" t="s">
        <v>162</v>
      </c>
      <c r="C80" s="14" t="s">
        <v>16</v>
      </c>
      <c r="D80" s="6"/>
      <c r="G80" s="9"/>
      <c r="H80" s="10"/>
      <c r="I80" s="8"/>
      <c r="J80" s="9"/>
      <c r="K80" s="8"/>
      <c r="Q80" s="11"/>
      <c r="R80" s="54"/>
    </row>
    <row r="81" spans="1:18">
      <c r="A81" s="2" t="s">
        <v>161</v>
      </c>
      <c r="B81" s="16" t="s">
        <v>162</v>
      </c>
      <c r="C81" s="14" t="s">
        <v>16</v>
      </c>
      <c r="D81" s="6" t="s">
        <v>163</v>
      </c>
      <c r="G81" s="9"/>
      <c r="H81" s="10"/>
      <c r="I81" s="8"/>
      <c r="J81" s="9"/>
      <c r="K81" s="8"/>
      <c r="P81" s="10" t="e">
        <f>VLOOKUP($O81,codetabel!$A$1:$B$12,2,FALSE)</f>
        <v>#N/A</v>
      </c>
      <c r="Q81" s="11"/>
      <c r="R81" s="54" t="str">
        <f t="shared" si="3"/>
        <v/>
      </c>
    </row>
    <row r="82" spans="1:18">
      <c r="A82" s="2" t="s">
        <v>164</v>
      </c>
      <c r="B82" s="16" t="s">
        <v>165</v>
      </c>
      <c r="D82" s="6" t="s">
        <v>166</v>
      </c>
      <c r="E82" s="7">
        <v>200</v>
      </c>
      <c r="F82" s="3">
        <v>30</v>
      </c>
      <c r="G82" s="9">
        <v>50</v>
      </c>
      <c r="H82" s="10" t="s">
        <v>24</v>
      </c>
      <c r="I82" s="8"/>
      <c r="J82" s="9">
        <v>30</v>
      </c>
      <c r="K82" s="8"/>
      <c r="L82" s="3">
        <v>2</v>
      </c>
      <c r="M82" s="3" t="s">
        <v>26</v>
      </c>
      <c r="O82" s="9">
        <f>MAX(J82,G82,F82,E82)</f>
        <v>200</v>
      </c>
      <c r="P82" s="10" t="str">
        <f>VLOOKUP($O82,codetabel!$A$1:$B$12,2,FALSE)</f>
        <v>4.1</v>
      </c>
      <c r="Q82" s="11"/>
      <c r="R82" s="54" t="str">
        <f t="shared" si="3"/>
        <v>4.1</v>
      </c>
    </row>
    <row r="83" spans="1:18">
      <c r="A83" s="2" t="s">
        <v>167</v>
      </c>
      <c r="B83" s="16" t="s">
        <v>168</v>
      </c>
      <c r="C83" s="14" t="s">
        <v>16</v>
      </c>
      <c r="D83" s="6" t="s">
        <v>169</v>
      </c>
      <c r="G83" s="9"/>
      <c r="H83" s="10"/>
      <c r="I83" s="8"/>
      <c r="J83" s="9"/>
      <c r="K83" s="8"/>
      <c r="P83" s="10" t="e">
        <f>VLOOKUP($O83,codetabel!$A$1:$B$12,2,FALSE)</f>
        <v>#N/A</v>
      </c>
      <c r="Q83" s="11"/>
      <c r="R83" s="54" t="str">
        <f t="shared" si="3"/>
        <v/>
      </c>
    </row>
    <row r="84" spans="1:18">
      <c r="A84" s="2" t="s">
        <v>167</v>
      </c>
      <c r="B84" s="16" t="s">
        <v>168</v>
      </c>
      <c r="C84" s="14" t="s">
        <v>16</v>
      </c>
      <c r="D84" s="6" t="s">
        <v>170</v>
      </c>
      <c r="G84" s="9"/>
      <c r="H84" s="10"/>
      <c r="I84" s="8"/>
      <c r="J84" s="9"/>
      <c r="K84" s="8"/>
      <c r="P84" s="10" t="e">
        <f>VLOOKUP($O84,codetabel!$A$1:$B$12,2,FALSE)</f>
        <v>#N/A</v>
      </c>
      <c r="Q84" s="11"/>
      <c r="R84" s="54" t="str">
        <f t="shared" si="3"/>
        <v/>
      </c>
    </row>
    <row r="85" spans="1:18">
      <c r="A85" s="2" t="s">
        <v>171</v>
      </c>
      <c r="B85" s="16" t="s">
        <v>172</v>
      </c>
      <c r="D85" s="6" t="s">
        <v>173</v>
      </c>
      <c r="E85" s="7">
        <v>10</v>
      </c>
      <c r="F85" s="3">
        <v>50</v>
      </c>
      <c r="G85" s="9">
        <v>100</v>
      </c>
      <c r="H85" s="10"/>
      <c r="I85" s="8"/>
      <c r="J85" s="9">
        <v>30</v>
      </c>
      <c r="K85" s="8"/>
      <c r="L85" s="3">
        <v>2</v>
      </c>
      <c r="M85" s="3" t="s">
        <v>26</v>
      </c>
      <c r="O85" s="9">
        <f>MAX(J85,G85,F85,E85)</f>
        <v>100</v>
      </c>
      <c r="P85" s="10" t="str">
        <f>VLOOKUP($O85,codetabel!$A$1:$B$12,2,FALSE)</f>
        <v>3.2</v>
      </c>
      <c r="Q85" s="11"/>
      <c r="R85" s="54" t="str">
        <f t="shared" si="3"/>
        <v>3.2</v>
      </c>
    </row>
    <row r="86" spans="1:18">
      <c r="A86" s="2" t="s">
        <v>174</v>
      </c>
      <c r="B86" s="16" t="s">
        <v>175</v>
      </c>
      <c r="C86" s="14" t="s">
        <v>20</v>
      </c>
      <c r="D86" s="6" t="s">
        <v>176</v>
      </c>
      <c r="G86" s="9"/>
      <c r="H86" s="10"/>
      <c r="I86" s="8"/>
      <c r="J86" s="9"/>
      <c r="K86" s="8"/>
      <c r="P86" s="10" t="e">
        <f>VLOOKUP($O86,codetabel!$A$1:$B$12,2,FALSE)</f>
        <v>#N/A</v>
      </c>
      <c r="Q86" s="11"/>
      <c r="R86" s="54" t="str">
        <f t="shared" si="3"/>
        <v/>
      </c>
    </row>
    <row r="87" spans="1:18">
      <c r="A87" s="2" t="s">
        <v>174</v>
      </c>
      <c r="B87" s="16" t="s">
        <v>175</v>
      </c>
      <c r="C87" s="14" t="s">
        <v>22</v>
      </c>
      <c r="D87" s="6" t="s">
        <v>177</v>
      </c>
      <c r="E87" s="7">
        <v>10</v>
      </c>
      <c r="F87" s="3">
        <v>10</v>
      </c>
      <c r="G87" s="9">
        <v>100</v>
      </c>
      <c r="H87" s="10"/>
      <c r="I87" s="8"/>
      <c r="J87" s="9">
        <v>0</v>
      </c>
      <c r="K87" s="8"/>
      <c r="L87" s="3">
        <v>2</v>
      </c>
      <c r="M87" s="3" t="s">
        <v>26</v>
      </c>
      <c r="O87" s="9">
        <f t="shared" ref="O87:O92" si="4">MAX(J87,G87,F87,E87)</f>
        <v>100</v>
      </c>
      <c r="P87" s="10" t="str">
        <f>VLOOKUP($O87,codetabel!$A$1:$B$12,2,FALSE)</f>
        <v>3.2</v>
      </c>
      <c r="Q87" s="11"/>
      <c r="R87" s="54" t="str">
        <f t="shared" si="3"/>
        <v>3.2</v>
      </c>
    </row>
    <row r="88" spans="1:18">
      <c r="A88" s="2" t="s">
        <v>174</v>
      </c>
      <c r="B88" s="16" t="s">
        <v>175</v>
      </c>
      <c r="C88" s="14" t="s">
        <v>46</v>
      </c>
      <c r="D88" s="6" t="s">
        <v>178</v>
      </c>
      <c r="E88" s="7">
        <v>10</v>
      </c>
      <c r="F88" s="3">
        <v>30</v>
      </c>
      <c r="G88" s="9">
        <v>300</v>
      </c>
      <c r="H88" s="10"/>
      <c r="I88" s="8" t="s">
        <v>70</v>
      </c>
      <c r="J88" s="9">
        <v>50</v>
      </c>
      <c r="K88" s="8"/>
      <c r="L88" s="3">
        <v>3</v>
      </c>
      <c r="M88" s="3" t="s">
        <v>26</v>
      </c>
      <c r="O88" s="9">
        <f t="shared" si="4"/>
        <v>300</v>
      </c>
      <c r="P88" s="10" t="str">
        <f>VLOOKUP($O88,codetabel!$A$1:$B$12,2,FALSE)</f>
        <v>4.2</v>
      </c>
      <c r="Q88" s="11"/>
      <c r="R88" s="54" t="str">
        <f t="shared" si="3"/>
        <v>4.2</v>
      </c>
    </row>
    <row r="89" spans="1:18">
      <c r="A89" s="2" t="s">
        <v>179</v>
      </c>
      <c r="B89" s="16" t="s">
        <v>180</v>
      </c>
      <c r="D89" s="6" t="s">
        <v>181</v>
      </c>
      <c r="E89" s="7">
        <v>50</v>
      </c>
      <c r="F89" s="3">
        <v>0</v>
      </c>
      <c r="G89" s="9">
        <v>50</v>
      </c>
      <c r="H89" s="10"/>
      <c r="I89" s="8"/>
      <c r="J89" s="9">
        <v>10</v>
      </c>
      <c r="K89" s="8"/>
      <c r="L89" s="3">
        <v>2</v>
      </c>
      <c r="M89" s="3" t="s">
        <v>26</v>
      </c>
      <c r="O89" s="9">
        <f t="shared" si="4"/>
        <v>50</v>
      </c>
      <c r="P89" s="10" t="str">
        <f>VLOOKUP($O89,codetabel!$A$1:$B$12,2,FALSE)</f>
        <v>3.1</v>
      </c>
      <c r="Q89" s="11"/>
      <c r="R89" s="54" t="str">
        <f t="shared" si="3"/>
        <v>3.1</v>
      </c>
    </row>
    <row r="90" spans="1:18">
      <c r="A90" s="2" t="s">
        <v>182</v>
      </c>
      <c r="B90" s="16" t="s">
        <v>183</v>
      </c>
      <c r="D90" s="6" t="s">
        <v>184</v>
      </c>
      <c r="E90" s="7">
        <v>10</v>
      </c>
      <c r="F90" s="3">
        <v>0</v>
      </c>
      <c r="G90" s="9">
        <v>50</v>
      </c>
      <c r="H90" s="10"/>
      <c r="I90" s="8"/>
      <c r="J90" s="9">
        <v>10</v>
      </c>
      <c r="K90" s="8"/>
      <c r="L90" s="3">
        <v>1</v>
      </c>
      <c r="M90" s="3" t="s">
        <v>26</v>
      </c>
      <c r="O90" s="9">
        <f t="shared" si="4"/>
        <v>50</v>
      </c>
      <c r="P90" s="10" t="str">
        <f>VLOOKUP($O90,codetabel!$A$1:$B$12,2,FALSE)</f>
        <v>3.1</v>
      </c>
      <c r="Q90" s="11"/>
      <c r="R90" s="54" t="str">
        <f t="shared" si="3"/>
        <v>3.1</v>
      </c>
    </row>
    <row r="91" spans="1:18">
      <c r="A91" s="2" t="s">
        <v>185</v>
      </c>
      <c r="B91" s="16" t="s">
        <v>186</v>
      </c>
      <c r="D91" s="6" t="s">
        <v>187</v>
      </c>
      <c r="E91" s="7">
        <v>100</v>
      </c>
      <c r="F91" s="3">
        <v>30</v>
      </c>
      <c r="G91" s="9">
        <v>200</v>
      </c>
      <c r="H91" s="10"/>
      <c r="I91" s="8"/>
      <c r="J91" s="9">
        <v>10</v>
      </c>
      <c r="K91" s="8"/>
      <c r="L91" s="3">
        <v>2</v>
      </c>
      <c r="M91" s="3" t="s">
        <v>26</v>
      </c>
      <c r="O91" s="9">
        <f t="shared" si="4"/>
        <v>200</v>
      </c>
      <c r="P91" s="10" t="str">
        <f>VLOOKUP($O91,codetabel!$A$1:$B$12,2,FALSE)</f>
        <v>4.1</v>
      </c>
      <c r="Q91" s="11"/>
      <c r="R91" s="54" t="str">
        <f t="shared" si="3"/>
        <v>4.1</v>
      </c>
    </row>
    <row r="92" spans="1:18">
      <c r="A92" s="2" t="s">
        <v>188</v>
      </c>
      <c r="B92" s="16" t="s">
        <v>189</v>
      </c>
      <c r="D92" s="6" t="s">
        <v>190</v>
      </c>
      <c r="E92" s="7">
        <v>0</v>
      </c>
      <c r="F92" s="3">
        <v>10</v>
      </c>
      <c r="G92" s="9">
        <v>50</v>
      </c>
      <c r="H92" s="10"/>
      <c r="I92" s="8"/>
      <c r="J92" s="9">
        <v>10</v>
      </c>
      <c r="K92" s="8"/>
      <c r="L92" s="3">
        <v>1</v>
      </c>
      <c r="M92" s="3" t="s">
        <v>26</v>
      </c>
      <c r="O92" s="9">
        <f t="shared" si="4"/>
        <v>50</v>
      </c>
      <c r="P92" s="10" t="str">
        <f>VLOOKUP($O92,codetabel!$A$1:$B$12,2,FALSE)</f>
        <v>3.1</v>
      </c>
      <c r="Q92" s="11"/>
      <c r="R92" s="54" t="str">
        <f t="shared" si="3"/>
        <v>3.1</v>
      </c>
    </row>
    <row r="93" spans="1:18">
      <c r="A93" s="2" t="s">
        <v>191</v>
      </c>
      <c r="B93" s="16" t="s">
        <v>192</v>
      </c>
      <c r="C93" s="14" t="s">
        <v>16</v>
      </c>
      <c r="D93" s="6" t="s">
        <v>169</v>
      </c>
      <c r="G93" s="9"/>
      <c r="H93" s="10"/>
      <c r="I93" s="8"/>
      <c r="J93" s="9"/>
      <c r="K93" s="8"/>
      <c r="P93" s="10" t="e">
        <f>VLOOKUP($O93,codetabel!$A$1:$B$12,2,FALSE)</f>
        <v>#N/A</v>
      </c>
      <c r="Q93" s="11"/>
      <c r="R93" s="54" t="str">
        <f t="shared" si="3"/>
        <v/>
      </c>
    </row>
    <row r="94" spans="1:18">
      <c r="A94" s="2" t="s">
        <v>191</v>
      </c>
      <c r="B94" s="16" t="s">
        <v>192</v>
      </c>
      <c r="C94" s="14" t="s">
        <v>16</v>
      </c>
      <c r="D94" s="6" t="s">
        <v>193</v>
      </c>
      <c r="G94" s="9"/>
      <c r="H94" s="10"/>
      <c r="I94" s="8"/>
      <c r="J94" s="9"/>
      <c r="K94" s="8"/>
      <c r="P94" s="10" t="e">
        <f>VLOOKUP($O94,codetabel!$A$1:$B$12,2,FALSE)</f>
        <v>#N/A</v>
      </c>
      <c r="Q94" s="11"/>
      <c r="R94" s="54" t="str">
        <f t="shared" si="3"/>
        <v/>
      </c>
    </row>
    <row r="95" spans="1:18">
      <c r="A95" s="2" t="s">
        <v>194</v>
      </c>
      <c r="B95" s="16" t="s">
        <v>195</v>
      </c>
      <c r="D95" s="6" t="s">
        <v>196</v>
      </c>
      <c r="E95" s="7">
        <v>30</v>
      </c>
      <c r="F95" s="3">
        <v>0</v>
      </c>
      <c r="G95" s="9">
        <v>50</v>
      </c>
      <c r="H95" s="10"/>
      <c r="I95" s="8"/>
      <c r="J95" s="9">
        <v>0</v>
      </c>
      <c r="K95" s="8"/>
      <c r="L95" s="3">
        <v>1</v>
      </c>
      <c r="M95" s="3" t="s">
        <v>26</v>
      </c>
      <c r="O95" s="9">
        <f>MAX(J95,G95,F95,E95)</f>
        <v>50</v>
      </c>
      <c r="P95" s="10" t="str">
        <f>VLOOKUP($O95,codetabel!$A$1:$B$12,2,FALSE)</f>
        <v>3.1</v>
      </c>
      <c r="Q95" s="11"/>
      <c r="R95" s="54" t="str">
        <f t="shared" si="3"/>
        <v>3.1</v>
      </c>
    </row>
    <row r="96" spans="1:18">
      <c r="A96" s="2" t="s">
        <v>197</v>
      </c>
      <c r="B96" s="16" t="s">
        <v>198</v>
      </c>
      <c r="D96" s="6" t="s">
        <v>199</v>
      </c>
      <c r="E96" s="7">
        <v>50</v>
      </c>
      <c r="F96" s="3">
        <v>10</v>
      </c>
      <c r="G96" s="9">
        <v>10</v>
      </c>
      <c r="H96" s="10"/>
      <c r="I96" s="8"/>
      <c r="J96" s="9">
        <v>10</v>
      </c>
      <c r="K96" s="8"/>
      <c r="L96" s="3">
        <v>1</v>
      </c>
      <c r="M96" s="3" t="s">
        <v>26</v>
      </c>
      <c r="O96" s="9">
        <f>MAX(J96,G96,F96,E96)</f>
        <v>50</v>
      </c>
      <c r="P96" s="10" t="str">
        <f>VLOOKUP($O96,codetabel!$A$1:$B$12,2,FALSE)</f>
        <v>3.1</v>
      </c>
      <c r="Q96" s="11"/>
      <c r="R96" s="54" t="str">
        <f t="shared" si="3"/>
        <v>3.1</v>
      </c>
    </row>
    <row r="97" spans="1:24">
      <c r="A97" s="2" t="s">
        <v>200</v>
      </c>
      <c r="B97" s="16" t="s">
        <v>14</v>
      </c>
      <c r="C97" s="14" t="s">
        <v>16</v>
      </c>
      <c r="D97" s="6" t="s">
        <v>169</v>
      </c>
      <c r="G97" s="9"/>
      <c r="H97" s="10"/>
      <c r="I97" s="8"/>
      <c r="J97" s="9"/>
      <c r="K97" s="8"/>
      <c r="P97" s="10" t="e">
        <f>VLOOKUP($O97,codetabel!$A$1:$B$12,2,FALSE)</f>
        <v>#N/A</v>
      </c>
      <c r="Q97" s="11"/>
      <c r="R97" s="54" t="str">
        <f t="shared" si="3"/>
        <v/>
      </c>
    </row>
    <row r="98" spans="1:24">
      <c r="A98" s="2" t="s">
        <v>200</v>
      </c>
      <c r="B98" s="16" t="s">
        <v>14</v>
      </c>
      <c r="C98" s="14" t="s">
        <v>16</v>
      </c>
      <c r="D98" s="6" t="s">
        <v>201</v>
      </c>
      <c r="G98" s="9"/>
      <c r="H98" s="10"/>
      <c r="I98" s="8"/>
      <c r="J98" s="9"/>
      <c r="K98" s="8"/>
      <c r="P98" s="10" t="e">
        <f>VLOOKUP($O98,codetabel!$A$1:$B$12,2,FALSE)</f>
        <v>#N/A</v>
      </c>
      <c r="Q98" s="11"/>
      <c r="R98" s="54" t="str">
        <f t="shared" si="3"/>
        <v/>
      </c>
    </row>
    <row r="99" spans="1:24">
      <c r="A99" s="2" t="s">
        <v>202</v>
      </c>
      <c r="B99" s="16" t="s">
        <v>203</v>
      </c>
      <c r="D99" s="6" t="s">
        <v>204</v>
      </c>
      <c r="E99" s="7">
        <v>300</v>
      </c>
      <c r="F99" s="3">
        <v>30</v>
      </c>
      <c r="G99" s="9">
        <v>100</v>
      </c>
      <c r="H99" s="10"/>
      <c r="I99" s="8"/>
      <c r="J99" s="9">
        <v>10</v>
      </c>
      <c r="K99" s="8"/>
      <c r="L99" s="3">
        <v>2</v>
      </c>
      <c r="M99" s="3" t="s">
        <v>26</v>
      </c>
      <c r="O99" s="9">
        <f>MAX(J99,G99,F99,E99)</f>
        <v>300</v>
      </c>
      <c r="P99" s="10" t="str">
        <f>VLOOKUP($O99,codetabel!$A$1:$B$12,2,FALSE)</f>
        <v>4.2</v>
      </c>
      <c r="Q99" s="11"/>
      <c r="R99" s="54" t="str">
        <f t="shared" si="3"/>
        <v>4.2</v>
      </c>
    </row>
    <row r="100" spans="1:24">
      <c r="A100" s="2" t="s">
        <v>205</v>
      </c>
      <c r="B100" s="16" t="s">
        <v>18</v>
      </c>
      <c r="D100" s="6" t="s">
        <v>206</v>
      </c>
      <c r="E100" s="7">
        <v>50</v>
      </c>
      <c r="F100" s="3">
        <v>10</v>
      </c>
      <c r="G100" s="9">
        <v>30</v>
      </c>
      <c r="H100" s="10"/>
      <c r="I100" s="8"/>
      <c r="J100" s="9">
        <v>10</v>
      </c>
      <c r="K100" s="8"/>
      <c r="L100" s="3">
        <v>2</v>
      </c>
      <c r="M100" s="3" t="s">
        <v>26</v>
      </c>
      <c r="O100" s="9">
        <f>MAX(J100,G100,F100,E100)</f>
        <v>50</v>
      </c>
      <c r="P100" s="10" t="str">
        <f>VLOOKUP($O100,codetabel!$A$1:$B$12,2,FALSE)</f>
        <v>3.1</v>
      </c>
      <c r="Q100" s="11" t="s">
        <v>27</v>
      </c>
      <c r="R100" s="54" t="str">
        <f t="shared" si="3"/>
        <v>3.1</v>
      </c>
    </row>
    <row r="101" spans="1:24">
      <c r="A101" s="2" t="s">
        <v>207</v>
      </c>
      <c r="B101" s="16" t="s">
        <v>43</v>
      </c>
      <c r="D101" s="6" t="s">
        <v>208</v>
      </c>
      <c r="E101" s="7">
        <v>50</v>
      </c>
      <c r="F101" s="3">
        <v>10</v>
      </c>
      <c r="G101" s="9">
        <v>50</v>
      </c>
      <c r="H101" s="10"/>
      <c r="I101" s="8"/>
      <c r="J101" s="9">
        <v>10</v>
      </c>
      <c r="K101" s="8"/>
      <c r="L101" s="3">
        <v>2</v>
      </c>
      <c r="M101" s="3" t="s">
        <v>26</v>
      </c>
      <c r="O101" s="9">
        <f>MAX(J101,G101,F101,E101)</f>
        <v>50</v>
      </c>
      <c r="P101" s="10" t="str">
        <f>VLOOKUP($O101,codetabel!$A$1:$B$12,2,FALSE)</f>
        <v>3.1</v>
      </c>
      <c r="Q101" s="11"/>
      <c r="R101" s="54" t="str">
        <f t="shared" ref="R101:R132" si="5">IF(ISNA(P101),"",P101)</f>
        <v>3.1</v>
      </c>
    </row>
    <row r="102" spans="1:24">
      <c r="A102" s="2" t="s">
        <v>209</v>
      </c>
      <c r="B102" s="16" t="s">
        <v>161</v>
      </c>
      <c r="C102" s="14" t="s">
        <v>16</v>
      </c>
      <c r="D102" s="6" t="s">
        <v>169</v>
      </c>
      <c r="G102" s="9"/>
      <c r="H102" s="10"/>
      <c r="I102" s="8"/>
      <c r="J102" s="9"/>
      <c r="K102" s="8"/>
      <c r="P102" s="10" t="e">
        <f>VLOOKUP($O102,codetabel!$A$1:$B$12,2,FALSE)</f>
        <v>#N/A</v>
      </c>
      <c r="Q102" s="11"/>
      <c r="R102" s="54" t="str">
        <f t="shared" si="5"/>
        <v/>
      </c>
    </row>
    <row r="103" spans="1:24">
      <c r="A103" s="2" t="s">
        <v>209</v>
      </c>
      <c r="B103" s="16" t="s">
        <v>161</v>
      </c>
      <c r="C103" s="14" t="s">
        <v>16</v>
      </c>
      <c r="D103" s="6" t="s">
        <v>210</v>
      </c>
      <c r="G103" s="9"/>
      <c r="H103" s="10"/>
      <c r="I103" s="8"/>
      <c r="J103" s="9"/>
      <c r="K103" s="8"/>
      <c r="P103" s="10" t="e">
        <f>VLOOKUP($O103,codetabel!$A$1:$B$12,2,FALSE)</f>
        <v>#N/A</v>
      </c>
      <c r="Q103" s="11"/>
      <c r="R103" s="54" t="str">
        <f t="shared" si="5"/>
        <v/>
      </c>
    </row>
    <row r="104" spans="1:24">
      <c r="A104" s="2" t="s">
        <v>211</v>
      </c>
      <c r="B104" s="16" t="s">
        <v>212</v>
      </c>
      <c r="D104" s="6" t="s">
        <v>213</v>
      </c>
      <c r="E104" s="7">
        <v>0</v>
      </c>
      <c r="F104" s="3">
        <v>50</v>
      </c>
      <c r="G104" s="9">
        <v>100</v>
      </c>
      <c r="H104" s="10"/>
      <c r="I104" s="8"/>
      <c r="J104" s="9">
        <v>50</v>
      </c>
      <c r="K104" s="8" t="s">
        <v>25</v>
      </c>
      <c r="L104" s="3">
        <v>2</v>
      </c>
      <c r="M104" s="3" t="s">
        <v>26</v>
      </c>
      <c r="O104" s="9">
        <f>MAX(J104,G104,F104,E104)</f>
        <v>100</v>
      </c>
      <c r="P104" s="10" t="str">
        <f>VLOOKUP($O104,codetabel!$A$1:$B$12,2,FALSE)</f>
        <v>3.2</v>
      </c>
      <c r="Q104" s="11"/>
      <c r="R104" s="54" t="str">
        <f t="shared" si="5"/>
        <v>3.2</v>
      </c>
    </row>
    <row r="105" spans="1:24">
      <c r="A105" s="2" t="s">
        <v>214</v>
      </c>
      <c r="B105" s="16" t="s">
        <v>215</v>
      </c>
      <c r="C105" s="14" t="s">
        <v>20</v>
      </c>
      <c r="D105" s="6" t="s">
        <v>216</v>
      </c>
      <c r="G105" s="9"/>
      <c r="H105" s="10"/>
      <c r="I105" s="8"/>
      <c r="J105" s="9"/>
      <c r="K105" s="8"/>
      <c r="P105" s="10" t="e">
        <f>VLOOKUP($O105,codetabel!$A$1:$B$12,2,FALSE)</f>
        <v>#N/A</v>
      </c>
      <c r="Q105" s="11"/>
      <c r="R105" s="54" t="str">
        <f t="shared" si="5"/>
        <v/>
      </c>
    </row>
    <row r="106" spans="1:24">
      <c r="A106" s="2" t="s">
        <v>214</v>
      </c>
      <c r="B106" s="16" t="s">
        <v>215</v>
      </c>
      <c r="C106" s="14" t="s">
        <v>22</v>
      </c>
      <c r="D106" s="6" t="s">
        <v>217</v>
      </c>
      <c r="E106" s="7">
        <v>200</v>
      </c>
      <c r="F106" s="3">
        <v>30</v>
      </c>
      <c r="G106" s="9">
        <v>50</v>
      </c>
      <c r="H106" s="10"/>
      <c r="I106" s="8"/>
      <c r="J106" s="9">
        <v>10</v>
      </c>
      <c r="K106" s="8"/>
      <c r="L106" s="3">
        <v>2</v>
      </c>
      <c r="M106" s="3" t="s">
        <v>26</v>
      </c>
      <c r="O106" s="9">
        <f>MAX(J106,G106,F106,E106)</f>
        <v>200</v>
      </c>
      <c r="P106" s="10" t="str">
        <f>VLOOKUP($O106,codetabel!$A$1:$B$12,2,FALSE)</f>
        <v>4.1</v>
      </c>
      <c r="Q106" s="11"/>
      <c r="R106" s="54" t="str">
        <f t="shared" si="5"/>
        <v>4.1</v>
      </c>
    </row>
    <row r="107" spans="1:24">
      <c r="A107" s="2" t="s">
        <v>214</v>
      </c>
      <c r="B107" s="16" t="s">
        <v>215</v>
      </c>
      <c r="C107" s="14" t="s">
        <v>46</v>
      </c>
      <c r="D107" s="6" t="s">
        <v>218</v>
      </c>
      <c r="E107" s="7">
        <v>10</v>
      </c>
      <c r="F107" s="3">
        <v>30</v>
      </c>
      <c r="G107" s="9">
        <v>50</v>
      </c>
      <c r="H107" s="10"/>
      <c r="I107" s="8"/>
      <c r="J107" s="9">
        <v>10</v>
      </c>
      <c r="K107" s="8"/>
      <c r="L107" s="3">
        <v>2</v>
      </c>
      <c r="M107" s="3" t="s">
        <v>26</v>
      </c>
      <c r="O107" s="9">
        <f>MAX(J107,G107,F107,E107)</f>
        <v>50</v>
      </c>
      <c r="P107" s="10" t="str">
        <f>VLOOKUP($O107,codetabel!$A$1:$B$12,2,FALSE)</f>
        <v>3.1</v>
      </c>
      <c r="Q107" s="11"/>
      <c r="R107" s="54" t="str">
        <f t="shared" si="5"/>
        <v>3.1</v>
      </c>
    </row>
    <row r="108" spans="1:24">
      <c r="A108" s="2" t="s">
        <v>219</v>
      </c>
      <c r="B108" s="16" t="s">
        <v>220</v>
      </c>
      <c r="D108" s="6" t="s">
        <v>221</v>
      </c>
      <c r="E108" s="7">
        <v>100</v>
      </c>
      <c r="F108" s="3">
        <v>30</v>
      </c>
      <c r="G108" s="9">
        <v>100</v>
      </c>
      <c r="H108" s="10"/>
      <c r="I108" s="8"/>
      <c r="J108" s="9">
        <v>10</v>
      </c>
      <c r="K108" s="8"/>
      <c r="L108" s="3">
        <v>3</v>
      </c>
      <c r="M108" s="3" t="s">
        <v>26</v>
      </c>
      <c r="O108" s="9">
        <f>MAX(J108,G108,F108,E108)</f>
        <v>100</v>
      </c>
      <c r="P108" s="10" t="str">
        <f>VLOOKUP($O108,codetabel!$A$1:$B$12,2,FALSE)</f>
        <v>3.2</v>
      </c>
      <c r="Q108" s="11"/>
      <c r="R108" s="54" t="str">
        <f t="shared" si="5"/>
        <v>3.2</v>
      </c>
    </row>
    <row r="109" spans="1:24">
      <c r="A109" s="2" t="s">
        <v>222</v>
      </c>
      <c r="B109" s="16" t="s">
        <v>223</v>
      </c>
      <c r="C109" s="13">
        <v>0</v>
      </c>
      <c r="D109" s="6" t="s">
        <v>224</v>
      </c>
      <c r="E109" s="7">
        <v>0</v>
      </c>
      <c r="F109" s="3">
        <v>30</v>
      </c>
      <c r="G109" s="9">
        <v>100</v>
      </c>
      <c r="H109" s="10"/>
      <c r="I109" s="8"/>
      <c r="J109" s="9">
        <v>0</v>
      </c>
      <c r="K109" s="8"/>
      <c r="L109" s="3">
        <v>2</v>
      </c>
      <c r="M109" s="3" t="s">
        <v>26</v>
      </c>
      <c r="O109" s="9">
        <f>MAX(J109,G109,F109,E109)</f>
        <v>100</v>
      </c>
      <c r="P109" s="10" t="str">
        <f>VLOOKUP($O109,codetabel!$A$1:$B$12,2,FALSE)</f>
        <v>3.2</v>
      </c>
      <c r="Q109" s="11"/>
      <c r="R109" s="54" t="str">
        <f t="shared" si="5"/>
        <v>3.2</v>
      </c>
    </row>
    <row r="110" spans="1:24">
      <c r="A110" s="2" t="s">
        <v>222</v>
      </c>
      <c r="B110" s="16" t="s">
        <v>223</v>
      </c>
      <c r="C110" s="13">
        <v>1</v>
      </c>
      <c r="D110" s="6" t="s">
        <v>225</v>
      </c>
      <c r="E110" s="7">
        <v>0</v>
      </c>
      <c r="F110" s="3">
        <v>30</v>
      </c>
      <c r="G110" s="9">
        <v>50</v>
      </c>
      <c r="H110" s="10"/>
      <c r="I110" s="8"/>
      <c r="J110" s="9">
        <v>0</v>
      </c>
      <c r="K110" s="8"/>
      <c r="L110" s="3">
        <v>1</v>
      </c>
      <c r="M110" s="3" t="s">
        <v>26</v>
      </c>
      <c r="O110" s="9">
        <f>MAX(J110,G110,F110,E110)</f>
        <v>50</v>
      </c>
      <c r="P110" s="10" t="str">
        <f>VLOOKUP($O110,codetabel!$A$1:$B$12,2,FALSE)</f>
        <v>3.1</v>
      </c>
      <c r="Q110" s="11"/>
      <c r="R110" s="54" t="str">
        <f t="shared" si="5"/>
        <v>3.1</v>
      </c>
      <c r="X110" s="3" t="s">
        <v>226</v>
      </c>
    </row>
    <row r="111" spans="1:24">
      <c r="A111" s="2" t="s">
        <v>227</v>
      </c>
      <c r="B111" s="16" t="s">
        <v>167</v>
      </c>
      <c r="C111" s="14" t="s">
        <v>16</v>
      </c>
      <c r="D111" s="6" t="s">
        <v>169</v>
      </c>
      <c r="G111" s="9"/>
      <c r="H111" s="10"/>
      <c r="I111" s="8"/>
      <c r="J111" s="9"/>
      <c r="K111" s="8"/>
      <c r="P111" s="10" t="e">
        <f>VLOOKUP($O111,codetabel!$A$1:$B$12,2,FALSE)</f>
        <v>#N/A</v>
      </c>
      <c r="Q111" s="11"/>
      <c r="R111" s="54" t="str">
        <f t="shared" si="5"/>
        <v/>
      </c>
    </row>
    <row r="112" spans="1:24">
      <c r="A112" s="2" t="s">
        <v>227</v>
      </c>
      <c r="B112" s="16" t="s">
        <v>167</v>
      </c>
      <c r="C112" s="14" t="s">
        <v>16</v>
      </c>
      <c r="D112" s="6" t="s">
        <v>228</v>
      </c>
      <c r="G112" s="9"/>
      <c r="H112" s="10"/>
      <c r="I112" s="8"/>
      <c r="J112" s="9"/>
      <c r="K112" s="8"/>
      <c r="P112" s="10" t="e">
        <f>VLOOKUP($O112,codetabel!$A$1:$B$12,2,FALSE)</f>
        <v>#N/A</v>
      </c>
      <c r="Q112" s="11"/>
      <c r="R112" s="54" t="str">
        <f t="shared" si="5"/>
        <v/>
      </c>
    </row>
    <row r="113" spans="1:18">
      <c r="A113" s="2" t="s">
        <v>229</v>
      </c>
      <c r="B113" s="16" t="s">
        <v>230</v>
      </c>
      <c r="D113" s="6" t="s">
        <v>231</v>
      </c>
      <c r="E113" s="7">
        <v>200</v>
      </c>
      <c r="F113" s="3">
        <v>100</v>
      </c>
      <c r="G113" s="9">
        <v>200</v>
      </c>
      <c r="H113" s="10" t="s">
        <v>24</v>
      </c>
      <c r="I113" s="8"/>
      <c r="J113" s="9">
        <v>50</v>
      </c>
      <c r="K113" s="8" t="s">
        <v>25</v>
      </c>
      <c r="L113" s="3">
        <v>3</v>
      </c>
      <c r="M113" s="3" t="s">
        <v>26</v>
      </c>
      <c r="O113" s="9">
        <f>MAX(J113,G113,F113,E113)</f>
        <v>200</v>
      </c>
      <c r="P113" s="10" t="str">
        <f>VLOOKUP($O113,codetabel!$A$1:$B$12,2,FALSE)</f>
        <v>4.1</v>
      </c>
      <c r="Q113" s="11"/>
      <c r="R113" s="54" t="str">
        <f t="shared" si="5"/>
        <v>4.1</v>
      </c>
    </row>
    <row r="114" spans="1:18">
      <c r="A114" s="2" t="s">
        <v>232</v>
      </c>
      <c r="B114" s="16" t="s">
        <v>233</v>
      </c>
      <c r="C114" s="14" t="s">
        <v>20</v>
      </c>
      <c r="D114" s="6" t="s">
        <v>234</v>
      </c>
      <c r="G114" s="9"/>
      <c r="H114" s="10"/>
      <c r="I114" s="8"/>
      <c r="J114" s="9"/>
      <c r="K114" s="8"/>
      <c r="P114" s="10" t="e">
        <f>VLOOKUP($O114,codetabel!$A$1:$B$12,2,FALSE)</f>
        <v>#N/A</v>
      </c>
      <c r="Q114" s="11"/>
      <c r="R114" s="54" t="str">
        <f t="shared" si="5"/>
        <v/>
      </c>
    </row>
    <row r="115" spans="1:18">
      <c r="A115" s="2" t="s">
        <v>232</v>
      </c>
      <c r="B115" s="16" t="s">
        <v>233</v>
      </c>
      <c r="C115" s="14" t="s">
        <v>22</v>
      </c>
      <c r="D115" s="6" t="s">
        <v>235</v>
      </c>
      <c r="E115" s="7">
        <v>50</v>
      </c>
      <c r="F115" s="3">
        <v>30</v>
      </c>
      <c r="G115" s="9">
        <v>50</v>
      </c>
      <c r="H115" s="10" t="s">
        <v>24</v>
      </c>
      <c r="I115" s="8"/>
      <c r="J115" s="9">
        <v>30</v>
      </c>
      <c r="K115" s="8" t="s">
        <v>25</v>
      </c>
      <c r="L115" s="3">
        <v>1</v>
      </c>
      <c r="M115" s="3" t="s">
        <v>26</v>
      </c>
      <c r="O115" s="9">
        <f>MAX(J115,G115,F115,E115)</f>
        <v>50</v>
      </c>
      <c r="P115" s="10" t="str">
        <f>VLOOKUP($O115,codetabel!$A$1:$B$12,2,FALSE)</f>
        <v>3.1</v>
      </c>
      <c r="Q115" s="11"/>
      <c r="R115" s="54" t="str">
        <f t="shared" si="5"/>
        <v>3.1</v>
      </c>
    </row>
    <row r="116" spans="1:18">
      <c r="A116" s="2" t="s">
        <v>232</v>
      </c>
      <c r="B116" s="16" t="s">
        <v>233</v>
      </c>
      <c r="C116" s="14" t="s">
        <v>46</v>
      </c>
      <c r="D116" s="6" t="s">
        <v>236</v>
      </c>
      <c r="E116" s="7">
        <v>100</v>
      </c>
      <c r="F116" s="3">
        <v>50</v>
      </c>
      <c r="G116" s="9">
        <v>200</v>
      </c>
      <c r="H116" s="10" t="s">
        <v>24</v>
      </c>
      <c r="I116" s="8" t="s">
        <v>70</v>
      </c>
      <c r="J116" s="9">
        <v>50</v>
      </c>
      <c r="K116" s="8" t="s">
        <v>25</v>
      </c>
      <c r="L116" s="3">
        <v>2</v>
      </c>
      <c r="M116" s="3" t="s">
        <v>26</v>
      </c>
      <c r="O116" s="9">
        <f>MAX(J116,G116,F116,E116)</f>
        <v>200</v>
      </c>
      <c r="P116" s="10" t="str">
        <f>VLOOKUP($O116,codetabel!$A$1:$B$12,2,FALSE)</f>
        <v>4.1</v>
      </c>
      <c r="Q116" s="11"/>
      <c r="R116" s="54" t="str">
        <f t="shared" si="5"/>
        <v>4.1</v>
      </c>
    </row>
    <row r="117" spans="1:18">
      <c r="A117" s="2" t="s">
        <v>232</v>
      </c>
      <c r="B117" s="16" t="s">
        <v>233</v>
      </c>
      <c r="C117" s="14" t="s">
        <v>29</v>
      </c>
      <c r="D117" s="6" t="s">
        <v>237</v>
      </c>
      <c r="E117" s="7">
        <v>200</v>
      </c>
      <c r="F117" s="3">
        <v>100</v>
      </c>
      <c r="G117" s="9">
        <v>300</v>
      </c>
      <c r="H117" s="10" t="s">
        <v>24</v>
      </c>
      <c r="I117" s="8" t="s">
        <v>70</v>
      </c>
      <c r="J117" s="9">
        <v>100</v>
      </c>
      <c r="K117" s="8" t="s">
        <v>25</v>
      </c>
      <c r="L117" s="3">
        <v>3</v>
      </c>
      <c r="M117" s="3" t="s">
        <v>26</v>
      </c>
      <c r="O117" s="9">
        <f>MAX(J117,G117,F117,E117)</f>
        <v>300</v>
      </c>
      <c r="P117" s="10" t="str">
        <f>VLOOKUP($O117,codetabel!$A$1:$B$12,2,FALSE)</f>
        <v>4.2</v>
      </c>
      <c r="Q117" s="11"/>
      <c r="R117" s="54" t="str">
        <f t="shared" si="5"/>
        <v>4.2</v>
      </c>
    </row>
    <row r="118" spans="1:18">
      <c r="A118" s="2" t="s">
        <v>238</v>
      </c>
      <c r="B118" s="16" t="s">
        <v>174</v>
      </c>
      <c r="D118" s="6" t="s">
        <v>239</v>
      </c>
      <c r="E118" s="7">
        <v>30</v>
      </c>
      <c r="F118" s="3">
        <v>30</v>
      </c>
      <c r="G118" s="9">
        <v>100</v>
      </c>
      <c r="H118" s="10" t="s">
        <v>24</v>
      </c>
      <c r="I118" s="8"/>
      <c r="J118" s="9">
        <v>30</v>
      </c>
      <c r="K118" s="8" t="s">
        <v>25</v>
      </c>
      <c r="L118" s="3">
        <v>2</v>
      </c>
      <c r="M118" s="3" t="s">
        <v>26</v>
      </c>
      <c r="O118" s="9">
        <f>MAX(J118,G118,F118,E118)</f>
        <v>100</v>
      </c>
      <c r="P118" s="10" t="str">
        <f>VLOOKUP($O118,codetabel!$A$1:$B$12,2,FALSE)</f>
        <v>3.2</v>
      </c>
      <c r="Q118" s="11"/>
      <c r="R118" s="54" t="str">
        <f t="shared" si="5"/>
        <v>3.2</v>
      </c>
    </row>
    <row r="119" spans="1:18">
      <c r="A119" s="2" t="s">
        <v>240</v>
      </c>
      <c r="B119" s="16" t="s">
        <v>241</v>
      </c>
      <c r="C119" s="14" t="s">
        <v>20</v>
      </c>
      <c r="D119" s="6" t="s">
        <v>242</v>
      </c>
      <c r="G119" s="9"/>
      <c r="H119" s="10"/>
      <c r="I119" s="8"/>
      <c r="J119" s="9"/>
      <c r="K119" s="8"/>
      <c r="P119" s="10" t="e">
        <f>VLOOKUP($O119,codetabel!$A$1:$B$12,2,FALSE)</f>
        <v>#N/A</v>
      </c>
      <c r="Q119" s="11"/>
      <c r="R119" s="54" t="str">
        <f t="shared" si="5"/>
        <v/>
      </c>
    </row>
    <row r="120" spans="1:18">
      <c r="A120" s="2" t="s">
        <v>240</v>
      </c>
      <c r="B120" s="16" t="s">
        <v>241</v>
      </c>
      <c r="C120" s="14" t="s">
        <v>22</v>
      </c>
      <c r="D120" s="6" t="s">
        <v>235</v>
      </c>
      <c r="E120" s="7">
        <v>30</v>
      </c>
      <c r="F120" s="3">
        <v>30</v>
      </c>
      <c r="G120" s="9">
        <v>100</v>
      </c>
      <c r="H120" s="10" t="s">
        <v>24</v>
      </c>
      <c r="I120" s="8"/>
      <c r="J120" s="9">
        <v>30</v>
      </c>
      <c r="K120" s="8" t="s">
        <v>25</v>
      </c>
      <c r="L120" s="3">
        <v>2</v>
      </c>
      <c r="M120" s="3" t="s">
        <v>26</v>
      </c>
      <c r="O120" s="9">
        <f>MAX(J120,G120,F120,E120)</f>
        <v>100</v>
      </c>
      <c r="P120" s="10" t="str">
        <f>VLOOKUP($O120,codetabel!$A$1:$B$12,2,FALSE)</f>
        <v>3.2</v>
      </c>
      <c r="Q120" s="11"/>
      <c r="R120" s="54" t="str">
        <f t="shared" si="5"/>
        <v>3.2</v>
      </c>
    </row>
    <row r="121" spans="1:18">
      <c r="A121" s="2" t="s">
        <v>240</v>
      </c>
      <c r="B121" s="16" t="s">
        <v>241</v>
      </c>
      <c r="C121" s="14" t="s">
        <v>46</v>
      </c>
      <c r="D121" s="6" t="s">
        <v>243</v>
      </c>
      <c r="E121" s="7">
        <v>50</v>
      </c>
      <c r="F121" s="3">
        <v>30</v>
      </c>
      <c r="G121" s="9">
        <v>200</v>
      </c>
      <c r="H121" s="10" t="s">
        <v>24</v>
      </c>
      <c r="I121" s="8" t="s">
        <v>70</v>
      </c>
      <c r="J121" s="9">
        <v>30</v>
      </c>
      <c r="K121" s="8" t="s">
        <v>25</v>
      </c>
      <c r="L121" s="3">
        <v>2</v>
      </c>
      <c r="M121" s="3" t="s">
        <v>26</v>
      </c>
      <c r="O121" s="9">
        <f>MAX(J121,G121,F121,E121)</f>
        <v>200</v>
      </c>
      <c r="P121" s="10" t="str">
        <f>VLOOKUP($O121,codetabel!$A$1:$B$12,2,FALSE)</f>
        <v>4.1</v>
      </c>
      <c r="Q121" s="11"/>
      <c r="R121" s="54" t="str">
        <f t="shared" si="5"/>
        <v>4.1</v>
      </c>
    </row>
    <row r="122" spans="1:18">
      <c r="A122" s="2" t="s">
        <v>244</v>
      </c>
      <c r="B122" s="16" t="s">
        <v>245</v>
      </c>
      <c r="C122" s="14" t="s">
        <v>16</v>
      </c>
      <c r="D122" s="6" t="s">
        <v>169</v>
      </c>
      <c r="G122" s="9"/>
      <c r="H122" s="10"/>
      <c r="I122" s="8"/>
      <c r="J122" s="9"/>
      <c r="K122" s="8"/>
      <c r="P122" s="10" t="e">
        <f>VLOOKUP($O122,codetabel!$A$1:$B$12,2,FALSE)</f>
        <v>#N/A</v>
      </c>
      <c r="Q122" s="11"/>
      <c r="R122" s="54" t="str">
        <f t="shared" si="5"/>
        <v/>
      </c>
    </row>
    <row r="123" spans="1:18">
      <c r="A123" s="2" t="s">
        <v>244</v>
      </c>
      <c r="B123" s="16" t="s">
        <v>245</v>
      </c>
      <c r="C123" s="14" t="s">
        <v>16</v>
      </c>
      <c r="D123" s="6" t="s">
        <v>246</v>
      </c>
      <c r="G123" s="9"/>
      <c r="H123" s="10"/>
      <c r="I123" s="8"/>
      <c r="J123" s="9"/>
      <c r="K123" s="8"/>
      <c r="P123" s="10" t="e">
        <f>VLOOKUP($O123,codetabel!$A$1:$B$12,2,FALSE)</f>
        <v>#N/A</v>
      </c>
      <c r="Q123" s="11"/>
      <c r="R123" s="54" t="str">
        <f t="shared" si="5"/>
        <v/>
      </c>
    </row>
    <row r="124" spans="1:18">
      <c r="A124" s="2" t="s">
        <v>247</v>
      </c>
      <c r="B124" s="16" t="s">
        <v>248</v>
      </c>
      <c r="D124" s="6" t="s">
        <v>249</v>
      </c>
      <c r="E124" s="7">
        <v>30</v>
      </c>
      <c r="F124" s="3">
        <v>0</v>
      </c>
      <c r="G124" s="9">
        <v>100</v>
      </c>
      <c r="H124" s="10" t="s">
        <v>24</v>
      </c>
      <c r="I124" s="8"/>
      <c r="J124" s="9">
        <v>10</v>
      </c>
      <c r="K124" s="8"/>
      <c r="L124" s="3">
        <v>3</v>
      </c>
      <c r="M124" s="3" t="s">
        <v>26</v>
      </c>
      <c r="O124" s="9">
        <f>MAX(J124,G124,F124,E124)</f>
        <v>100</v>
      </c>
      <c r="P124" s="10" t="str">
        <f>VLOOKUP($O124,codetabel!$A$1:$B$12,2,FALSE)</f>
        <v>3.2</v>
      </c>
      <c r="Q124" s="11"/>
      <c r="R124" s="54" t="str">
        <f t="shared" si="5"/>
        <v>3.2</v>
      </c>
    </row>
    <row r="125" spans="1:18">
      <c r="A125" s="2" t="s">
        <v>250</v>
      </c>
      <c r="B125" s="16" t="s">
        <v>251</v>
      </c>
      <c r="D125" s="6" t="s">
        <v>252</v>
      </c>
      <c r="E125" s="7">
        <v>30</v>
      </c>
      <c r="F125" s="3">
        <v>0</v>
      </c>
      <c r="G125" s="9">
        <v>100</v>
      </c>
      <c r="H125" s="10"/>
      <c r="I125" s="8"/>
      <c r="J125" s="9">
        <v>10</v>
      </c>
      <c r="K125" s="8"/>
      <c r="L125" s="3">
        <v>3</v>
      </c>
      <c r="M125" s="3" t="s">
        <v>26</v>
      </c>
      <c r="O125" s="9">
        <f>MAX(J125,G125,F125,E125)</f>
        <v>100</v>
      </c>
      <c r="P125" s="10" t="str">
        <f>VLOOKUP($O125,codetabel!$A$1:$B$12,2,FALSE)</f>
        <v>3.2</v>
      </c>
      <c r="Q125" s="11"/>
      <c r="R125" s="54" t="str">
        <f t="shared" si="5"/>
        <v>3.2</v>
      </c>
    </row>
    <row r="126" spans="1:18">
      <c r="A126" s="2" t="s">
        <v>253</v>
      </c>
      <c r="B126" s="16" t="s">
        <v>200</v>
      </c>
      <c r="C126" s="14" t="s">
        <v>16</v>
      </c>
      <c r="D126" s="6" t="s">
        <v>169</v>
      </c>
      <c r="G126" s="9"/>
      <c r="H126" s="10"/>
      <c r="I126" s="8"/>
      <c r="J126" s="9"/>
      <c r="K126" s="8"/>
      <c r="P126" s="10" t="e">
        <f>VLOOKUP($O126,codetabel!$A$1:$B$12,2,FALSE)</f>
        <v>#N/A</v>
      </c>
      <c r="Q126" s="11"/>
      <c r="R126" s="54" t="str">
        <f t="shared" si="5"/>
        <v/>
      </c>
    </row>
    <row r="127" spans="1:18">
      <c r="A127" s="2" t="s">
        <v>253</v>
      </c>
      <c r="B127" s="16" t="s">
        <v>200</v>
      </c>
      <c r="C127" s="14" t="s">
        <v>16</v>
      </c>
      <c r="D127" s="6" t="s">
        <v>254</v>
      </c>
      <c r="G127" s="9"/>
      <c r="H127" s="10"/>
      <c r="I127" s="8"/>
      <c r="J127" s="9"/>
      <c r="K127" s="8"/>
      <c r="P127" s="10" t="e">
        <f>VLOOKUP($O127,codetabel!$A$1:$B$12,2,FALSE)</f>
        <v>#N/A</v>
      </c>
      <c r="Q127" s="11"/>
      <c r="R127" s="54" t="str">
        <f t="shared" si="5"/>
        <v/>
      </c>
    </row>
    <row r="128" spans="1:18">
      <c r="A128" s="2" t="s">
        <v>255</v>
      </c>
      <c r="B128" s="16" t="s">
        <v>256</v>
      </c>
      <c r="D128" s="6" t="s">
        <v>257</v>
      </c>
      <c r="E128" s="7">
        <v>1500</v>
      </c>
      <c r="F128" s="3">
        <v>100</v>
      </c>
      <c r="G128" s="9">
        <v>1500</v>
      </c>
      <c r="H128" s="10" t="s">
        <v>24</v>
      </c>
      <c r="I128" s="8" t="s">
        <v>70</v>
      </c>
      <c r="J128" s="9">
        <v>1500</v>
      </c>
      <c r="K128" s="8" t="s">
        <v>25</v>
      </c>
      <c r="L128" s="3">
        <v>3</v>
      </c>
      <c r="M128" s="3" t="s">
        <v>26</v>
      </c>
      <c r="O128" s="9">
        <f>MAX(J128,G128,F128,E128)</f>
        <v>1500</v>
      </c>
      <c r="P128" s="10">
        <f>VLOOKUP($O128,codetabel!$A$1:$B$12,2,FALSE)</f>
        <v>6</v>
      </c>
      <c r="Q128" s="11"/>
      <c r="R128" s="54">
        <f t="shared" si="5"/>
        <v>6</v>
      </c>
    </row>
    <row r="129" spans="1:18">
      <c r="A129" s="2" t="s">
        <v>258</v>
      </c>
      <c r="B129" s="16" t="s">
        <v>259</v>
      </c>
      <c r="C129" s="14" t="s">
        <v>260</v>
      </c>
      <c r="D129" s="6" t="s">
        <v>261</v>
      </c>
      <c r="E129" s="7">
        <v>50</v>
      </c>
      <c r="F129" s="3">
        <v>0</v>
      </c>
      <c r="G129" s="9">
        <v>100</v>
      </c>
      <c r="H129" s="10"/>
      <c r="I129" s="8"/>
      <c r="J129" s="9">
        <v>30</v>
      </c>
      <c r="K129" s="8" t="s">
        <v>25</v>
      </c>
      <c r="L129" s="3">
        <v>2</v>
      </c>
      <c r="M129" s="3" t="s">
        <v>26</v>
      </c>
      <c r="O129" s="9">
        <f>MAX(J129,G129,F129,E129)</f>
        <v>100</v>
      </c>
      <c r="P129" s="10" t="str">
        <f>VLOOKUP($O129,codetabel!$A$1:$B$12,2,FALSE)</f>
        <v>3.2</v>
      </c>
      <c r="Q129" s="11"/>
      <c r="R129" s="54" t="str">
        <f t="shared" si="5"/>
        <v>3.2</v>
      </c>
    </row>
    <row r="130" spans="1:18">
      <c r="A130" s="2" t="s">
        <v>258</v>
      </c>
      <c r="B130" s="16" t="s">
        <v>259</v>
      </c>
      <c r="C130" s="14" t="s">
        <v>262</v>
      </c>
      <c r="D130" s="6" t="s">
        <v>263</v>
      </c>
      <c r="E130" s="7">
        <v>300</v>
      </c>
      <c r="F130" s="3">
        <v>0</v>
      </c>
      <c r="G130" s="9">
        <v>100</v>
      </c>
      <c r="H130" s="10"/>
      <c r="I130" s="8"/>
      <c r="J130" s="9">
        <v>50</v>
      </c>
      <c r="K130" s="8" t="s">
        <v>25</v>
      </c>
      <c r="L130" s="3">
        <v>2</v>
      </c>
      <c r="M130" s="3" t="s">
        <v>26</v>
      </c>
      <c r="O130" s="9">
        <f>MAX(J130,G130,F130,E130)</f>
        <v>300</v>
      </c>
      <c r="P130" s="10" t="str">
        <f>VLOOKUP($O130,codetabel!$A$1:$B$12,2,FALSE)</f>
        <v>4.2</v>
      </c>
      <c r="Q130" s="11"/>
      <c r="R130" s="54" t="str">
        <f t="shared" si="5"/>
        <v>4.2</v>
      </c>
    </row>
    <row r="131" spans="1:18">
      <c r="A131" s="2" t="s">
        <v>258</v>
      </c>
      <c r="B131" s="16" t="s">
        <v>259</v>
      </c>
      <c r="C131" s="14" t="s">
        <v>24</v>
      </c>
      <c r="D131" s="6" t="s">
        <v>264</v>
      </c>
      <c r="E131" s="7">
        <v>300</v>
      </c>
      <c r="F131" s="3">
        <v>0</v>
      </c>
      <c r="G131" s="9">
        <v>200</v>
      </c>
      <c r="H131" s="10"/>
      <c r="I131" s="8"/>
      <c r="J131" s="9">
        <v>50</v>
      </c>
      <c r="K131" s="8" t="s">
        <v>25</v>
      </c>
      <c r="L131" s="3">
        <v>2</v>
      </c>
      <c r="M131" s="3" t="s">
        <v>26</v>
      </c>
      <c r="O131" s="9">
        <f>MAX(J131,G131,F131,E131)</f>
        <v>300</v>
      </c>
      <c r="P131" s="10" t="str">
        <f>VLOOKUP($O131,codetabel!$A$1:$B$12,2,FALSE)</f>
        <v>4.2</v>
      </c>
      <c r="Q131" s="11" t="s">
        <v>27</v>
      </c>
      <c r="R131" s="54" t="str">
        <f t="shared" si="5"/>
        <v>4.2</v>
      </c>
    </row>
    <row r="132" spans="1:18">
      <c r="A132" s="2" t="s">
        <v>265</v>
      </c>
      <c r="B132" s="16" t="s">
        <v>266</v>
      </c>
      <c r="D132" s="6" t="s">
        <v>267</v>
      </c>
      <c r="E132" s="7">
        <v>10</v>
      </c>
      <c r="F132" s="3">
        <v>10</v>
      </c>
      <c r="G132" s="9">
        <v>100</v>
      </c>
      <c r="H132" s="10"/>
      <c r="I132" s="8"/>
      <c r="J132" s="9">
        <v>1500</v>
      </c>
      <c r="K132" s="8"/>
      <c r="L132" s="3">
        <v>1</v>
      </c>
      <c r="M132" s="3" t="s">
        <v>26</v>
      </c>
      <c r="O132" s="9">
        <f>MAX(J132,G132,F132,E132)</f>
        <v>1500</v>
      </c>
      <c r="P132" s="10">
        <f>VLOOKUP($O132,codetabel!$A$1:$B$12,2,FALSE)</f>
        <v>6</v>
      </c>
      <c r="Q132" s="11" t="s">
        <v>27</v>
      </c>
      <c r="R132" s="54">
        <f t="shared" si="5"/>
        <v>6</v>
      </c>
    </row>
    <row r="133" spans="1:18">
      <c r="A133" s="2" t="s">
        <v>268</v>
      </c>
      <c r="B133" s="16" t="s">
        <v>209</v>
      </c>
      <c r="C133" s="14" t="s">
        <v>16</v>
      </c>
      <c r="D133" s="6" t="s">
        <v>169</v>
      </c>
      <c r="G133" s="9"/>
      <c r="H133" s="10"/>
      <c r="I133" s="8"/>
      <c r="J133" s="9"/>
      <c r="K133" s="8"/>
      <c r="P133" s="10" t="e">
        <f>VLOOKUP($O133,codetabel!$A$1:$B$12,2,FALSE)</f>
        <v>#N/A</v>
      </c>
      <c r="Q133" s="11"/>
      <c r="R133" s="54" t="str">
        <f t="shared" ref="R133:R164" si="6">IF(ISNA(P133),"",P133)</f>
        <v/>
      </c>
    </row>
    <row r="134" spans="1:18">
      <c r="A134" s="2" t="s">
        <v>268</v>
      </c>
      <c r="B134" s="16" t="s">
        <v>209</v>
      </c>
      <c r="C134" s="14" t="s">
        <v>16</v>
      </c>
      <c r="D134" s="6" t="s">
        <v>269</v>
      </c>
      <c r="G134" s="9"/>
      <c r="H134" s="10"/>
      <c r="I134" s="8"/>
      <c r="J134" s="9"/>
      <c r="K134" s="8"/>
      <c r="P134" s="10" t="e">
        <f>VLOOKUP($O134,codetabel!$A$1:$B$12,2,FALSE)</f>
        <v>#N/A</v>
      </c>
      <c r="Q134" s="11"/>
      <c r="R134" s="54" t="str">
        <f t="shared" si="6"/>
        <v/>
      </c>
    </row>
    <row r="135" spans="1:18">
      <c r="A135" s="2" t="s">
        <v>270</v>
      </c>
      <c r="B135" s="16" t="s">
        <v>271</v>
      </c>
      <c r="C135" s="14" t="s">
        <v>20</v>
      </c>
      <c r="D135" s="6" t="s">
        <v>272</v>
      </c>
      <c r="G135" s="9"/>
      <c r="H135" s="10"/>
      <c r="I135" s="8"/>
      <c r="J135" s="9"/>
      <c r="K135" s="8"/>
      <c r="P135" s="10" t="e">
        <f>VLOOKUP($O135,codetabel!$A$1:$B$12,2,FALSE)</f>
        <v>#N/A</v>
      </c>
      <c r="Q135" s="11"/>
      <c r="R135" s="54" t="str">
        <f t="shared" si="6"/>
        <v/>
      </c>
    </row>
    <row r="136" spans="1:18">
      <c r="A136" s="2" t="s">
        <v>273</v>
      </c>
      <c r="B136" s="16" t="s">
        <v>274</v>
      </c>
      <c r="D136" s="6" t="s">
        <v>275</v>
      </c>
      <c r="E136" s="7">
        <v>200</v>
      </c>
      <c r="F136" s="3">
        <v>0</v>
      </c>
      <c r="G136" s="9">
        <v>200</v>
      </c>
      <c r="H136" s="10" t="s">
        <v>24</v>
      </c>
      <c r="I136" s="8"/>
      <c r="J136" s="9">
        <v>200</v>
      </c>
      <c r="K136" s="8" t="s">
        <v>25</v>
      </c>
      <c r="L136" s="3">
        <v>3</v>
      </c>
      <c r="M136" s="3" t="s">
        <v>26</v>
      </c>
      <c r="O136" s="9">
        <f>MAX(J136,G136,F136,E136)</f>
        <v>200</v>
      </c>
      <c r="P136" s="10" t="str">
        <f>VLOOKUP($O136,codetabel!$A$1:$B$12,2,FALSE)</f>
        <v>4.1</v>
      </c>
      <c r="Q136" s="11" t="s">
        <v>27</v>
      </c>
      <c r="R136" s="54" t="str">
        <f t="shared" si="6"/>
        <v>4.1</v>
      </c>
    </row>
    <row r="137" spans="1:18">
      <c r="A137" s="2" t="s">
        <v>276</v>
      </c>
      <c r="B137" s="16" t="s">
        <v>274</v>
      </c>
      <c r="C137" s="14" t="s">
        <v>20</v>
      </c>
      <c r="D137" s="6" t="s">
        <v>277</v>
      </c>
      <c r="G137" s="9"/>
      <c r="H137" s="10"/>
      <c r="I137" s="8"/>
      <c r="J137" s="9"/>
      <c r="K137" s="8"/>
      <c r="P137" s="10" t="e">
        <f>VLOOKUP($O137,codetabel!$A$1:$B$12,2,FALSE)</f>
        <v>#N/A</v>
      </c>
      <c r="Q137" s="11"/>
      <c r="R137" s="54" t="str">
        <f t="shared" si="6"/>
        <v/>
      </c>
    </row>
    <row r="138" spans="1:18">
      <c r="A138" s="2" t="s">
        <v>276</v>
      </c>
      <c r="B138" s="16" t="s">
        <v>274</v>
      </c>
      <c r="C138" s="14" t="s">
        <v>22</v>
      </c>
      <c r="D138" s="6" t="s">
        <v>278</v>
      </c>
      <c r="E138" s="7">
        <v>100</v>
      </c>
      <c r="F138" s="3">
        <v>30</v>
      </c>
      <c r="G138" s="9">
        <v>300</v>
      </c>
      <c r="H138" s="10" t="s">
        <v>24</v>
      </c>
      <c r="I138" s="8"/>
      <c r="J138" s="9">
        <v>300</v>
      </c>
      <c r="K138" s="8" t="s">
        <v>25</v>
      </c>
      <c r="L138" s="3">
        <v>2</v>
      </c>
      <c r="M138" s="3" t="s">
        <v>26</v>
      </c>
      <c r="O138" s="9">
        <f>MAX(J138,G138,F138,E138)</f>
        <v>300</v>
      </c>
      <c r="P138" s="10" t="str">
        <f>VLOOKUP($O138,codetabel!$A$1:$B$12,2,FALSE)</f>
        <v>4.2</v>
      </c>
      <c r="Q138" s="11" t="s">
        <v>27</v>
      </c>
      <c r="R138" s="54" t="str">
        <f t="shared" si="6"/>
        <v>4.2</v>
      </c>
    </row>
    <row r="139" spans="1:18">
      <c r="A139" s="2" t="s">
        <v>279</v>
      </c>
      <c r="B139" s="16" t="s">
        <v>280</v>
      </c>
      <c r="C139" s="14" t="s">
        <v>281</v>
      </c>
      <c r="D139" s="6" t="s">
        <v>282</v>
      </c>
      <c r="G139" s="9"/>
      <c r="H139" s="10"/>
      <c r="I139" s="8"/>
      <c r="J139" s="9"/>
      <c r="K139" s="8"/>
      <c r="P139" s="10" t="e">
        <f>VLOOKUP($O139,codetabel!$A$1:$B$12,2,FALSE)</f>
        <v>#N/A</v>
      </c>
      <c r="Q139" s="11"/>
      <c r="R139" s="54" t="str">
        <f t="shared" si="6"/>
        <v/>
      </c>
    </row>
    <row r="140" spans="1:18">
      <c r="A140" s="2" t="s">
        <v>279</v>
      </c>
      <c r="B140" s="16" t="s">
        <v>280</v>
      </c>
      <c r="C140" s="14" t="s">
        <v>283</v>
      </c>
      <c r="D140" s="6" t="s">
        <v>278</v>
      </c>
      <c r="E140" s="7">
        <v>300</v>
      </c>
      <c r="F140" s="3">
        <v>10</v>
      </c>
      <c r="G140" s="9">
        <v>200</v>
      </c>
      <c r="H140" s="10" t="s">
        <v>24</v>
      </c>
      <c r="I140" s="8"/>
      <c r="J140" s="9">
        <v>300</v>
      </c>
      <c r="K140" s="8" t="s">
        <v>25</v>
      </c>
      <c r="L140" s="3">
        <v>2</v>
      </c>
      <c r="M140" s="3" t="s">
        <v>26</v>
      </c>
      <c r="O140" s="9">
        <f>MAX(J140,G140,F140,E140)</f>
        <v>300</v>
      </c>
      <c r="P140" s="10" t="str">
        <f>VLOOKUP($O140,codetabel!$A$1:$B$12,2,FALSE)</f>
        <v>4.2</v>
      </c>
      <c r="Q140" s="11" t="s">
        <v>27</v>
      </c>
      <c r="R140" s="54" t="str">
        <f t="shared" si="6"/>
        <v>4.2</v>
      </c>
    </row>
    <row r="141" spans="1:18">
      <c r="A141" s="2" t="s">
        <v>279</v>
      </c>
      <c r="B141" s="16" t="s">
        <v>280</v>
      </c>
      <c r="C141" s="14" t="s">
        <v>284</v>
      </c>
      <c r="D141" s="6" t="s">
        <v>285</v>
      </c>
      <c r="G141" s="9"/>
      <c r="H141" s="10"/>
      <c r="I141" s="8"/>
      <c r="J141" s="9"/>
      <c r="K141" s="8"/>
      <c r="P141" s="10" t="e">
        <f>VLOOKUP($O141,codetabel!$A$1:$B$12,2,FALSE)</f>
        <v>#N/A</v>
      </c>
      <c r="Q141" s="11"/>
      <c r="R141" s="54" t="str">
        <f t="shared" si="6"/>
        <v/>
      </c>
    </row>
    <row r="142" spans="1:18">
      <c r="A142" s="2" t="s">
        <v>279</v>
      </c>
      <c r="B142" s="16" t="s">
        <v>280</v>
      </c>
      <c r="C142" s="14" t="s">
        <v>286</v>
      </c>
      <c r="D142" s="6" t="s">
        <v>287</v>
      </c>
      <c r="E142" s="7">
        <v>100</v>
      </c>
      <c r="F142" s="3">
        <v>0</v>
      </c>
      <c r="G142" s="9">
        <v>200</v>
      </c>
      <c r="H142" s="10" t="s">
        <v>24</v>
      </c>
      <c r="I142" s="8"/>
      <c r="J142" s="9">
        <v>100</v>
      </c>
      <c r="K142" s="8" t="s">
        <v>25</v>
      </c>
      <c r="L142" s="3">
        <v>2</v>
      </c>
      <c r="M142" s="3" t="s">
        <v>26</v>
      </c>
      <c r="O142" s="9">
        <f>MAX(J142,G142,F142,E142)</f>
        <v>200</v>
      </c>
      <c r="P142" s="10" t="str">
        <f>VLOOKUP($O142,codetabel!$A$1:$B$12,2,FALSE)</f>
        <v>4.1</v>
      </c>
      <c r="Q142" s="11"/>
      <c r="R142" s="54" t="str">
        <f t="shared" si="6"/>
        <v>4.1</v>
      </c>
    </row>
    <row r="143" spans="1:18">
      <c r="A143" s="2" t="s">
        <v>279</v>
      </c>
      <c r="B143" s="16" t="s">
        <v>280</v>
      </c>
      <c r="C143" s="14" t="s">
        <v>288</v>
      </c>
      <c r="D143" s="6" t="s">
        <v>289</v>
      </c>
      <c r="E143" s="7">
        <v>200</v>
      </c>
      <c r="F143" s="3">
        <v>0</v>
      </c>
      <c r="G143" s="9">
        <v>300</v>
      </c>
      <c r="H143" s="10" t="s">
        <v>24</v>
      </c>
      <c r="I143" s="8" t="s">
        <v>70</v>
      </c>
      <c r="J143" s="9">
        <v>200</v>
      </c>
      <c r="K143" s="8" t="s">
        <v>25</v>
      </c>
      <c r="L143" s="3">
        <v>3</v>
      </c>
      <c r="M143" s="3" t="s">
        <v>26</v>
      </c>
      <c r="O143" s="9">
        <f>MAX(J143,G143,F143,E143)</f>
        <v>300</v>
      </c>
      <c r="P143" s="10" t="str">
        <f>VLOOKUP($O143,codetabel!$A$1:$B$12,2,FALSE)</f>
        <v>4.2</v>
      </c>
      <c r="Q143" s="11"/>
      <c r="R143" s="54" t="str">
        <f t="shared" si="6"/>
        <v>4.2</v>
      </c>
    </row>
    <row r="144" spans="1:18">
      <c r="A144" s="2" t="s">
        <v>290</v>
      </c>
      <c r="B144" s="16" t="s">
        <v>291</v>
      </c>
      <c r="C144" s="14" t="s">
        <v>20</v>
      </c>
      <c r="D144" s="6" t="s">
        <v>292</v>
      </c>
      <c r="G144" s="9"/>
      <c r="H144" s="10"/>
      <c r="I144" s="8"/>
      <c r="J144" s="9"/>
      <c r="K144" s="8"/>
      <c r="P144" s="10" t="e">
        <f>VLOOKUP($O144,codetabel!$A$1:$B$12,2,FALSE)</f>
        <v>#N/A</v>
      </c>
      <c r="Q144" s="11"/>
      <c r="R144" s="54" t="str">
        <f t="shared" si="6"/>
        <v/>
      </c>
    </row>
    <row r="145" spans="1:18">
      <c r="A145" s="2" t="s">
        <v>290</v>
      </c>
      <c r="B145" s="16" t="s">
        <v>291</v>
      </c>
      <c r="C145" s="14" t="s">
        <v>22</v>
      </c>
      <c r="D145" s="6" t="s">
        <v>293</v>
      </c>
      <c r="E145" s="7">
        <v>300</v>
      </c>
      <c r="F145" s="3">
        <v>0</v>
      </c>
      <c r="G145" s="9">
        <v>200</v>
      </c>
      <c r="H145" s="10" t="s">
        <v>24</v>
      </c>
      <c r="I145" s="8"/>
      <c r="J145" s="9">
        <v>100</v>
      </c>
      <c r="K145" s="8" t="s">
        <v>25</v>
      </c>
      <c r="L145" s="3">
        <v>2</v>
      </c>
      <c r="M145" s="3" t="s">
        <v>26</v>
      </c>
      <c r="O145" s="9">
        <f>MAX(J145,G145,F145,E145)</f>
        <v>300</v>
      </c>
      <c r="P145" s="10" t="str">
        <f>VLOOKUP($O145,codetabel!$A$1:$B$12,2,FALSE)</f>
        <v>4.2</v>
      </c>
      <c r="Q145" s="11"/>
      <c r="R145" s="54" t="str">
        <f t="shared" si="6"/>
        <v>4.2</v>
      </c>
    </row>
    <row r="146" spans="1:18">
      <c r="A146" s="2" t="s">
        <v>294</v>
      </c>
      <c r="B146" s="16" t="s">
        <v>219</v>
      </c>
      <c r="C146" s="14" t="s">
        <v>20</v>
      </c>
      <c r="D146" s="6" t="s">
        <v>295</v>
      </c>
      <c r="G146" s="9"/>
      <c r="H146" s="10"/>
      <c r="I146" s="8"/>
      <c r="J146" s="9"/>
      <c r="K146" s="8"/>
      <c r="P146" s="10" t="e">
        <f>VLOOKUP($O146,codetabel!$A$1:$B$12,2,FALSE)</f>
        <v>#N/A</v>
      </c>
      <c r="Q146" s="11"/>
      <c r="R146" s="54" t="str">
        <f t="shared" si="6"/>
        <v/>
      </c>
    </row>
    <row r="147" spans="1:18">
      <c r="A147" s="2" t="s">
        <v>296</v>
      </c>
      <c r="B147" s="16" t="s">
        <v>297</v>
      </c>
      <c r="D147" s="6" t="s">
        <v>298</v>
      </c>
      <c r="E147" s="7">
        <v>300</v>
      </c>
      <c r="F147" s="3">
        <v>30</v>
      </c>
      <c r="G147" s="9">
        <v>200</v>
      </c>
      <c r="H147" s="10" t="s">
        <v>24</v>
      </c>
      <c r="I147" s="8"/>
      <c r="J147" s="9">
        <v>300</v>
      </c>
      <c r="K147" s="8" t="s">
        <v>25</v>
      </c>
      <c r="L147" s="3">
        <v>3</v>
      </c>
      <c r="M147" s="3" t="s">
        <v>26</v>
      </c>
      <c r="O147" s="9">
        <f>MAX(J147,G147,F147,E147)</f>
        <v>300</v>
      </c>
      <c r="P147" s="10" t="str">
        <f>VLOOKUP($O147,codetabel!$A$1:$B$12,2,FALSE)</f>
        <v>4.2</v>
      </c>
      <c r="Q147" s="11" t="s">
        <v>27</v>
      </c>
      <c r="R147" s="54" t="str">
        <f t="shared" si="6"/>
        <v>4.2</v>
      </c>
    </row>
    <row r="148" spans="1:18">
      <c r="A148" s="2" t="s">
        <v>299</v>
      </c>
      <c r="B148" s="16" t="s">
        <v>300</v>
      </c>
      <c r="C148" s="14" t="s">
        <v>20</v>
      </c>
      <c r="D148" s="6" t="s">
        <v>301</v>
      </c>
      <c r="G148" s="9"/>
      <c r="H148" s="10"/>
      <c r="I148" s="8"/>
      <c r="J148" s="9"/>
      <c r="K148" s="8"/>
      <c r="P148" s="10" t="e">
        <f>VLOOKUP($O148,codetabel!$A$1:$B$12,2,FALSE)</f>
        <v>#N/A</v>
      </c>
      <c r="Q148" s="11"/>
      <c r="R148" s="54" t="str">
        <f t="shared" si="6"/>
        <v/>
      </c>
    </row>
    <row r="149" spans="1:18">
      <c r="A149" s="2" t="s">
        <v>299</v>
      </c>
      <c r="B149" s="16" t="s">
        <v>302</v>
      </c>
      <c r="C149" s="14" t="s">
        <v>22</v>
      </c>
      <c r="D149" s="6" t="s">
        <v>303</v>
      </c>
      <c r="E149" s="7">
        <v>200</v>
      </c>
      <c r="F149" s="3">
        <v>10</v>
      </c>
      <c r="G149" s="9">
        <v>200</v>
      </c>
      <c r="H149" s="10" t="s">
        <v>24</v>
      </c>
      <c r="I149" s="8"/>
      <c r="J149" s="9">
        <v>300</v>
      </c>
      <c r="K149" s="8" t="s">
        <v>25</v>
      </c>
      <c r="L149" s="3">
        <v>1</v>
      </c>
      <c r="M149" s="3" t="s">
        <v>26</v>
      </c>
      <c r="O149" s="9">
        <f>MAX(J149,G149,F149,E149)</f>
        <v>300</v>
      </c>
      <c r="P149" s="10" t="str">
        <f>VLOOKUP($O149,codetabel!$A$1:$B$12,2,FALSE)</f>
        <v>4.2</v>
      </c>
      <c r="Q149" s="11"/>
      <c r="R149" s="54" t="str">
        <f t="shared" si="6"/>
        <v>4.2</v>
      </c>
    </row>
    <row r="150" spans="1:18">
      <c r="A150" s="2" t="s">
        <v>304</v>
      </c>
      <c r="B150" s="16" t="s">
        <v>300</v>
      </c>
      <c r="C150" s="14" t="s">
        <v>20</v>
      </c>
      <c r="D150" s="6" t="s">
        <v>305</v>
      </c>
      <c r="G150" s="9"/>
      <c r="H150" s="10"/>
      <c r="I150" s="8"/>
      <c r="J150" s="9"/>
      <c r="K150" s="8"/>
      <c r="P150" s="10" t="e">
        <f>VLOOKUP($O150,codetabel!$A$1:$B$12,2,FALSE)</f>
        <v>#N/A</v>
      </c>
      <c r="Q150" s="11"/>
      <c r="R150" s="54" t="str">
        <f t="shared" si="6"/>
        <v/>
      </c>
    </row>
    <row r="151" spans="1:18">
      <c r="A151" s="2" t="s">
        <v>304</v>
      </c>
      <c r="B151" s="16" t="s">
        <v>300</v>
      </c>
      <c r="C151" s="14" t="s">
        <v>22</v>
      </c>
      <c r="D151" s="6" t="s">
        <v>306</v>
      </c>
      <c r="E151" s="7">
        <v>50</v>
      </c>
      <c r="F151" s="3">
        <v>10</v>
      </c>
      <c r="G151" s="9">
        <v>50</v>
      </c>
      <c r="H151" s="10"/>
      <c r="I151" s="8"/>
      <c r="J151" s="9">
        <v>50</v>
      </c>
      <c r="K151" s="8" t="s">
        <v>25</v>
      </c>
      <c r="L151" s="3">
        <v>2</v>
      </c>
      <c r="M151" s="3" t="s">
        <v>26</v>
      </c>
      <c r="O151" s="9">
        <f>MAX(J151,G151,F151,E151)</f>
        <v>50</v>
      </c>
      <c r="P151" s="10" t="str">
        <f>VLOOKUP($O151,codetabel!$A$1:$B$12,2,FALSE)</f>
        <v>3.1</v>
      </c>
      <c r="Q151" s="11"/>
      <c r="R151" s="54" t="str">
        <f t="shared" si="6"/>
        <v>3.1</v>
      </c>
    </row>
    <row r="152" spans="1:18">
      <c r="A152" s="2" t="s">
        <v>307</v>
      </c>
      <c r="B152" s="16" t="s">
        <v>308</v>
      </c>
      <c r="D152" s="6" t="s">
        <v>309</v>
      </c>
      <c r="E152" s="7">
        <v>300</v>
      </c>
      <c r="F152" s="3">
        <v>100</v>
      </c>
      <c r="G152" s="9">
        <v>200</v>
      </c>
      <c r="H152" s="10" t="s">
        <v>24</v>
      </c>
      <c r="I152" s="8"/>
      <c r="J152" s="9">
        <v>100</v>
      </c>
      <c r="K152" s="8" t="s">
        <v>25</v>
      </c>
      <c r="L152" s="3">
        <v>3</v>
      </c>
      <c r="M152" s="3" t="s">
        <v>26</v>
      </c>
      <c r="O152" s="9">
        <f>MAX(J152,G152,F152,E152)</f>
        <v>300</v>
      </c>
      <c r="P152" s="10" t="str">
        <f>VLOOKUP($O152,codetabel!$A$1:$B$12,2,FALSE)</f>
        <v>4.2</v>
      </c>
      <c r="Q152" s="11"/>
      <c r="R152" s="54" t="str">
        <f t="shared" si="6"/>
        <v>4.2</v>
      </c>
    </row>
    <row r="153" spans="1:18">
      <c r="A153" s="2" t="s">
        <v>310</v>
      </c>
      <c r="B153" s="16" t="s">
        <v>311</v>
      </c>
      <c r="D153" s="6" t="s">
        <v>312</v>
      </c>
      <c r="E153" s="7">
        <v>300</v>
      </c>
      <c r="F153" s="3">
        <v>30</v>
      </c>
      <c r="G153" s="9">
        <v>50</v>
      </c>
      <c r="H153" s="10" t="s">
        <v>24</v>
      </c>
      <c r="I153" s="8"/>
      <c r="J153" s="9">
        <v>50</v>
      </c>
      <c r="K153" s="8" t="s">
        <v>25</v>
      </c>
      <c r="L153" s="3">
        <v>2</v>
      </c>
      <c r="M153" s="3" t="s">
        <v>26</v>
      </c>
      <c r="O153" s="9">
        <f>MAX(J153,G153,F153,E153)</f>
        <v>300</v>
      </c>
      <c r="P153" s="10" t="str">
        <f>VLOOKUP($O153,codetabel!$A$1:$B$12,2,FALSE)</f>
        <v>4.2</v>
      </c>
      <c r="Q153" s="11"/>
      <c r="R153" s="54" t="str">
        <f t="shared" si="6"/>
        <v>4.2</v>
      </c>
    </row>
    <row r="154" spans="1:18">
      <c r="A154" s="2" t="s">
        <v>313</v>
      </c>
      <c r="B154" s="16" t="s">
        <v>314</v>
      </c>
      <c r="C154" s="14" t="s">
        <v>20</v>
      </c>
      <c r="D154" s="6" t="s">
        <v>315</v>
      </c>
      <c r="G154" s="9"/>
      <c r="H154" s="10"/>
      <c r="I154" s="8"/>
      <c r="J154" s="9"/>
      <c r="K154" s="8"/>
      <c r="P154" s="10" t="e">
        <f>VLOOKUP($O154,codetabel!$A$1:$B$12,2,FALSE)</f>
        <v>#N/A</v>
      </c>
      <c r="Q154" s="11"/>
      <c r="R154" s="54" t="str">
        <f t="shared" si="6"/>
        <v/>
      </c>
    </row>
    <row r="155" spans="1:18">
      <c r="A155" s="2" t="s">
        <v>313</v>
      </c>
      <c r="B155" s="16" t="s">
        <v>314</v>
      </c>
      <c r="C155" s="14" t="s">
        <v>22</v>
      </c>
      <c r="D155" s="6" t="s">
        <v>316</v>
      </c>
      <c r="E155" s="7">
        <v>100</v>
      </c>
      <c r="F155" s="3">
        <v>10</v>
      </c>
      <c r="G155" s="9">
        <v>100</v>
      </c>
      <c r="H155" s="10"/>
      <c r="I155" s="8"/>
      <c r="J155" s="9">
        <v>50</v>
      </c>
      <c r="K155" s="8"/>
      <c r="L155" s="3">
        <v>3</v>
      </c>
      <c r="M155" s="3" t="s">
        <v>26</v>
      </c>
      <c r="O155" s="9">
        <f>MAX(J155,G155,F155,E155)</f>
        <v>100</v>
      </c>
      <c r="P155" s="10" t="str">
        <f>VLOOKUP($O155,codetabel!$A$1:$B$12,2,FALSE)</f>
        <v>3.2</v>
      </c>
      <c r="Q155" s="11"/>
      <c r="R155" s="54" t="str">
        <f t="shared" si="6"/>
        <v>3.2</v>
      </c>
    </row>
    <row r="156" spans="1:18">
      <c r="A156" s="2" t="s">
        <v>317</v>
      </c>
      <c r="B156" s="16" t="s">
        <v>318</v>
      </c>
      <c r="D156" s="6" t="s">
        <v>319</v>
      </c>
      <c r="E156" s="7">
        <v>50</v>
      </c>
      <c r="F156" s="3">
        <v>10</v>
      </c>
      <c r="G156" s="9">
        <v>100</v>
      </c>
      <c r="H156" s="10"/>
      <c r="I156" s="8"/>
      <c r="J156" s="9">
        <v>50</v>
      </c>
      <c r="K156" s="8" t="s">
        <v>25</v>
      </c>
      <c r="L156" s="3">
        <v>3</v>
      </c>
      <c r="M156" s="3" t="s">
        <v>26</v>
      </c>
      <c r="O156" s="9">
        <f>MAX(J156,G156,F156,E156)</f>
        <v>100</v>
      </c>
      <c r="P156" s="10" t="str">
        <f>VLOOKUP($O156,codetabel!$A$1:$B$12,2,FALSE)</f>
        <v>3.2</v>
      </c>
      <c r="Q156" s="11"/>
      <c r="R156" s="54" t="str">
        <f t="shared" si="6"/>
        <v>3.2</v>
      </c>
    </row>
    <row r="157" spans="1:18">
      <c r="A157" s="2" t="s">
        <v>320</v>
      </c>
      <c r="B157" s="16" t="s">
        <v>321</v>
      </c>
      <c r="C157" s="14" t="s">
        <v>260</v>
      </c>
      <c r="D157" s="6" t="s">
        <v>322</v>
      </c>
      <c r="E157" s="7">
        <v>50</v>
      </c>
      <c r="F157" s="3">
        <v>10</v>
      </c>
      <c r="G157" s="9">
        <v>50</v>
      </c>
      <c r="H157" s="10"/>
      <c r="I157" s="8"/>
      <c r="J157" s="9">
        <v>50</v>
      </c>
      <c r="K157" s="8" t="s">
        <v>25</v>
      </c>
      <c r="L157" s="3">
        <v>3</v>
      </c>
      <c r="M157" s="3" t="s">
        <v>26</v>
      </c>
      <c r="O157" s="9">
        <f>MAX(J157,G157,F157,E157)</f>
        <v>50</v>
      </c>
      <c r="P157" s="10" t="str">
        <f>VLOOKUP($O157,codetabel!$A$1:$B$12,2,FALSE)</f>
        <v>3.1</v>
      </c>
      <c r="Q157" s="11"/>
      <c r="R157" s="54" t="str">
        <f t="shared" si="6"/>
        <v>3.1</v>
      </c>
    </row>
    <row r="158" spans="1:18">
      <c r="A158" s="2" t="s">
        <v>320</v>
      </c>
      <c r="B158" s="16" t="s">
        <v>321</v>
      </c>
      <c r="C158" s="14" t="s">
        <v>262</v>
      </c>
      <c r="D158" s="6" t="s">
        <v>323</v>
      </c>
      <c r="E158" s="7">
        <v>200</v>
      </c>
      <c r="F158" s="3">
        <v>30</v>
      </c>
      <c r="G158" s="9">
        <v>100</v>
      </c>
      <c r="H158" s="10" t="s">
        <v>24</v>
      </c>
      <c r="I158" s="8"/>
      <c r="J158" s="9">
        <v>200</v>
      </c>
      <c r="K158" s="8" t="s">
        <v>25</v>
      </c>
      <c r="L158" s="3">
        <v>2</v>
      </c>
      <c r="M158" s="3" t="s">
        <v>26</v>
      </c>
      <c r="O158" s="9">
        <f>MAX(J158,G158,F158,E158)</f>
        <v>200</v>
      </c>
      <c r="P158" s="10" t="str">
        <f>VLOOKUP($O158,codetabel!$A$1:$B$12,2,FALSE)</f>
        <v>4.1</v>
      </c>
      <c r="Q158" s="11" t="s">
        <v>27</v>
      </c>
      <c r="R158" s="54" t="str">
        <f t="shared" si="6"/>
        <v>4.1</v>
      </c>
    </row>
    <row r="159" spans="1:18">
      <c r="A159" s="2" t="s">
        <v>324</v>
      </c>
      <c r="B159" s="16" t="s">
        <v>325</v>
      </c>
      <c r="D159" s="6" t="s">
        <v>326</v>
      </c>
      <c r="E159" s="7">
        <v>300</v>
      </c>
      <c r="F159" s="3">
        <v>30</v>
      </c>
      <c r="G159" s="9">
        <v>300</v>
      </c>
      <c r="H159" s="10" t="s">
        <v>24</v>
      </c>
      <c r="I159" s="8"/>
      <c r="J159" s="9">
        <v>200</v>
      </c>
      <c r="K159" s="8" t="s">
        <v>25</v>
      </c>
      <c r="L159" s="3">
        <v>3</v>
      </c>
      <c r="M159" s="3" t="s">
        <v>26</v>
      </c>
      <c r="O159" s="9">
        <f>MAX(J159,G159,F159,E159)</f>
        <v>300</v>
      </c>
      <c r="P159" s="10" t="str">
        <f>VLOOKUP($O159,codetabel!$A$1:$B$12,2,FALSE)</f>
        <v>4.2</v>
      </c>
      <c r="Q159" s="11"/>
      <c r="R159" s="54" t="str">
        <f t="shared" si="6"/>
        <v>4.2</v>
      </c>
    </row>
    <row r="160" spans="1:18">
      <c r="A160" s="2" t="s">
        <v>327</v>
      </c>
      <c r="B160" s="16" t="s">
        <v>244</v>
      </c>
      <c r="C160" s="14" t="s">
        <v>16</v>
      </c>
      <c r="D160" s="6" t="s">
        <v>169</v>
      </c>
      <c r="G160" s="9"/>
      <c r="H160" s="10"/>
      <c r="I160" s="8"/>
      <c r="J160" s="9"/>
      <c r="K160" s="8"/>
      <c r="P160" s="10" t="e">
        <f>VLOOKUP($O160,codetabel!$A$1:$B$12,2,FALSE)</f>
        <v>#N/A</v>
      </c>
      <c r="Q160" s="11"/>
      <c r="R160" s="54" t="str">
        <f t="shared" si="6"/>
        <v/>
      </c>
    </row>
    <row r="161" spans="1:25">
      <c r="A161" s="2" t="s">
        <v>327</v>
      </c>
      <c r="B161" s="16" t="s">
        <v>244</v>
      </c>
      <c r="C161" s="14" t="s">
        <v>16</v>
      </c>
      <c r="D161" s="6" t="s">
        <v>328</v>
      </c>
      <c r="G161" s="9"/>
      <c r="H161" s="10"/>
      <c r="I161" s="8"/>
      <c r="J161" s="9"/>
      <c r="K161" s="8"/>
      <c r="P161" s="10" t="e">
        <f>VLOOKUP($O161,codetabel!$A$1:$B$12,2,FALSE)</f>
        <v>#N/A</v>
      </c>
      <c r="Q161" s="11"/>
      <c r="R161" s="54" t="str">
        <f t="shared" si="6"/>
        <v/>
      </c>
    </row>
    <row r="162" spans="1:25">
      <c r="A162" s="2" t="s">
        <v>329</v>
      </c>
      <c r="B162" s="16" t="s">
        <v>330</v>
      </c>
      <c r="D162" s="6" t="s">
        <v>331</v>
      </c>
      <c r="E162" s="7">
        <v>300</v>
      </c>
      <c r="F162" s="3">
        <v>50</v>
      </c>
      <c r="G162" s="9">
        <v>300</v>
      </c>
      <c r="H162" s="10" t="s">
        <v>24</v>
      </c>
      <c r="I162" s="8"/>
      <c r="J162" s="9">
        <v>100</v>
      </c>
      <c r="K162" s="8" t="s">
        <v>25</v>
      </c>
      <c r="L162" s="3">
        <v>2</v>
      </c>
      <c r="M162" s="3" t="s">
        <v>26</v>
      </c>
      <c r="O162" s="9">
        <f>MAX(J162,G162,F162,E162)</f>
        <v>300</v>
      </c>
      <c r="P162" s="10" t="str">
        <f>VLOOKUP($O162,codetabel!$A$1:$B$12,2,FALSE)</f>
        <v>4.2</v>
      </c>
      <c r="Q162" s="11"/>
      <c r="R162" s="54" t="str">
        <f t="shared" si="6"/>
        <v>4.2</v>
      </c>
    </row>
    <row r="163" spans="1:25">
      <c r="A163" s="2" t="s">
        <v>332</v>
      </c>
      <c r="B163" s="16" t="s">
        <v>333</v>
      </c>
      <c r="C163" s="14" t="s">
        <v>20</v>
      </c>
      <c r="D163" s="6" t="s">
        <v>334</v>
      </c>
      <c r="G163" s="9"/>
      <c r="H163" s="10"/>
      <c r="I163" s="8"/>
      <c r="J163" s="9"/>
      <c r="K163" s="8"/>
      <c r="P163" s="10" t="e">
        <f>VLOOKUP($O163,codetabel!$A$1:$B$12,2,FALSE)</f>
        <v>#N/A</v>
      </c>
      <c r="Q163" s="11"/>
      <c r="R163" s="54" t="str">
        <f t="shared" si="6"/>
        <v/>
      </c>
    </row>
    <row r="164" spans="1:25">
      <c r="A164" s="2" t="s">
        <v>332</v>
      </c>
      <c r="B164" s="16" t="s">
        <v>333</v>
      </c>
      <c r="C164" s="14" t="s">
        <v>22</v>
      </c>
      <c r="D164" s="6" t="s">
        <v>335</v>
      </c>
      <c r="E164" s="7">
        <v>50</v>
      </c>
      <c r="F164" s="3">
        <v>10</v>
      </c>
      <c r="G164" s="9">
        <v>30</v>
      </c>
      <c r="H164" s="10"/>
      <c r="I164" s="8"/>
      <c r="J164" s="9">
        <v>30</v>
      </c>
      <c r="K164" s="8"/>
      <c r="L164" s="3">
        <v>1</v>
      </c>
      <c r="M164" s="3" t="s">
        <v>26</v>
      </c>
      <c r="O164" s="9">
        <f>MAX(J164,G164,F164,E164)</f>
        <v>50</v>
      </c>
      <c r="P164" s="10" t="str">
        <f>VLOOKUP($O164,codetabel!$A$1:$B$12,2,FALSE)</f>
        <v>3.1</v>
      </c>
      <c r="Q164" s="11"/>
      <c r="R164" s="54" t="str">
        <f t="shared" si="6"/>
        <v>3.1</v>
      </c>
    </row>
    <row r="165" spans="1:25">
      <c r="A165" s="2" t="s">
        <v>332</v>
      </c>
      <c r="B165" s="16" t="s">
        <v>333</v>
      </c>
      <c r="C165" s="14" t="s">
        <v>46</v>
      </c>
      <c r="D165" s="6" t="s">
        <v>336</v>
      </c>
      <c r="E165" s="7">
        <v>200</v>
      </c>
      <c r="F165" s="3">
        <v>50</v>
      </c>
      <c r="G165" s="9">
        <v>100</v>
      </c>
      <c r="H165" s="10"/>
      <c r="I165" s="8"/>
      <c r="J165" s="9">
        <v>50</v>
      </c>
      <c r="K165" s="8" t="s">
        <v>25</v>
      </c>
      <c r="L165" s="3">
        <v>2</v>
      </c>
      <c r="M165" s="3" t="s">
        <v>26</v>
      </c>
      <c r="O165" s="9">
        <f>MAX(J165,G165,F165,E165)</f>
        <v>200</v>
      </c>
      <c r="P165" s="10" t="str">
        <f>VLOOKUP($O165,codetabel!$A$1:$B$12,2,FALSE)</f>
        <v>4.1</v>
      </c>
      <c r="Q165" s="11"/>
      <c r="R165" s="54" t="str">
        <f t="shared" ref="R165:R195" si="7">IF(ISNA(P165),"",P165)</f>
        <v>4.1</v>
      </c>
    </row>
    <row r="166" spans="1:25">
      <c r="A166" s="2" t="s">
        <v>337</v>
      </c>
      <c r="B166" s="16" t="s">
        <v>338</v>
      </c>
      <c r="D166" s="6" t="s">
        <v>339</v>
      </c>
      <c r="E166" s="7">
        <v>100</v>
      </c>
      <c r="F166" s="3">
        <v>10</v>
      </c>
      <c r="G166" s="9">
        <v>50</v>
      </c>
      <c r="H166" s="10"/>
      <c r="I166" s="8"/>
      <c r="J166" s="9">
        <v>50</v>
      </c>
      <c r="K166" s="8" t="s">
        <v>25</v>
      </c>
      <c r="L166" s="3">
        <v>1</v>
      </c>
      <c r="M166" s="3" t="s">
        <v>26</v>
      </c>
      <c r="O166" s="9">
        <f>MAX(J166,G166,F166,E166)</f>
        <v>100</v>
      </c>
      <c r="P166" s="10" t="str">
        <f>VLOOKUP($O166,codetabel!$A$1:$B$12,2,FALSE)</f>
        <v>3.2</v>
      </c>
      <c r="Q166" s="11" t="s">
        <v>27</v>
      </c>
      <c r="R166" s="54" t="str">
        <f t="shared" si="7"/>
        <v>3.2</v>
      </c>
    </row>
    <row r="167" spans="1:25">
      <c r="A167" s="2" t="s">
        <v>340</v>
      </c>
      <c r="B167" s="16" t="s">
        <v>341</v>
      </c>
      <c r="C167" s="14" t="s">
        <v>20</v>
      </c>
      <c r="D167" s="6" t="s">
        <v>342</v>
      </c>
      <c r="G167" s="9"/>
      <c r="H167" s="10"/>
      <c r="I167" s="8"/>
      <c r="J167" s="9"/>
      <c r="K167" s="8"/>
      <c r="P167" s="10" t="e">
        <f>VLOOKUP($O167,codetabel!$A$1:$B$12,2,FALSE)</f>
        <v>#N/A</v>
      </c>
      <c r="Q167" s="11"/>
      <c r="R167" s="54" t="str">
        <f t="shared" si="7"/>
        <v/>
      </c>
    </row>
    <row r="168" spans="1:25">
      <c r="A168" s="2" t="s">
        <v>340</v>
      </c>
      <c r="B168" s="16" t="s">
        <v>341</v>
      </c>
      <c r="C168" s="14" t="s">
        <v>22</v>
      </c>
      <c r="D168" s="6" t="s">
        <v>343</v>
      </c>
      <c r="E168" s="7">
        <v>200</v>
      </c>
      <c r="F168" s="3">
        <v>50</v>
      </c>
      <c r="G168" s="9">
        <v>100</v>
      </c>
      <c r="H168" s="10"/>
      <c r="I168" s="8"/>
      <c r="J168" s="9">
        <v>100</v>
      </c>
      <c r="K168" s="8" t="s">
        <v>25</v>
      </c>
      <c r="L168" s="3">
        <v>2</v>
      </c>
      <c r="M168" s="3" t="s">
        <v>26</v>
      </c>
      <c r="O168" s="9">
        <f>MAX(J168,G168,F168,E168)</f>
        <v>200</v>
      </c>
      <c r="P168" s="10" t="str">
        <f>VLOOKUP($O168,codetabel!$A$1:$B$12,2,FALSE)</f>
        <v>4.1</v>
      </c>
      <c r="Q168" s="11"/>
      <c r="R168" s="54" t="str">
        <f t="shared" si="7"/>
        <v>4.1</v>
      </c>
    </row>
    <row r="169" spans="1:25">
      <c r="A169" s="2" t="s">
        <v>340</v>
      </c>
      <c r="B169" s="16" t="s">
        <v>341</v>
      </c>
      <c r="C169" s="14" t="s">
        <v>46</v>
      </c>
      <c r="D169" s="6" t="s">
        <v>344</v>
      </c>
      <c r="E169" s="7">
        <v>300</v>
      </c>
      <c r="F169" s="3">
        <v>50</v>
      </c>
      <c r="G169" s="9">
        <v>100</v>
      </c>
      <c r="H169" s="10"/>
      <c r="I169" s="8"/>
      <c r="J169" s="9">
        <v>200</v>
      </c>
      <c r="K169" s="8" t="s">
        <v>25</v>
      </c>
      <c r="L169" s="3">
        <v>2</v>
      </c>
      <c r="M169" s="3" t="s">
        <v>26</v>
      </c>
      <c r="O169" s="9">
        <f>MAX(J169,G169,F169,E169)</f>
        <v>300</v>
      </c>
      <c r="P169" s="10" t="str">
        <f>VLOOKUP($O169,codetabel!$A$1:$B$12,2,FALSE)</f>
        <v>4.2</v>
      </c>
      <c r="Q169" s="11"/>
      <c r="R169" s="54" t="str">
        <f t="shared" si="7"/>
        <v>4.2</v>
      </c>
    </row>
    <row r="170" spans="1:25">
      <c r="A170" s="2" t="s">
        <v>340</v>
      </c>
      <c r="B170" s="16" t="s">
        <v>341</v>
      </c>
      <c r="C170" s="14" t="s">
        <v>29</v>
      </c>
      <c r="D170" s="6" t="s">
        <v>345</v>
      </c>
      <c r="E170" s="7">
        <v>50</v>
      </c>
      <c r="F170" s="3">
        <v>30</v>
      </c>
      <c r="G170" s="9">
        <v>50</v>
      </c>
      <c r="H170" s="10"/>
      <c r="I170" s="8"/>
      <c r="J170" s="9">
        <v>30</v>
      </c>
      <c r="K170" s="8"/>
      <c r="L170" s="3">
        <v>2</v>
      </c>
      <c r="M170" s="3" t="s">
        <v>26</v>
      </c>
      <c r="O170" s="9">
        <f>MAX(J170,G170,F170,E170)</f>
        <v>50</v>
      </c>
      <c r="P170" s="10" t="str">
        <f>VLOOKUP($O170,codetabel!$A$1:$B$12,2,FALSE)</f>
        <v>3.1</v>
      </c>
      <c r="Q170" s="11"/>
      <c r="R170" s="54" t="str">
        <f t="shared" si="7"/>
        <v>3.1</v>
      </c>
      <c r="X170" s="3" t="s">
        <v>35</v>
      </c>
      <c r="Y170" s="5"/>
    </row>
    <row r="171" spans="1:25">
      <c r="A171" s="2" t="s">
        <v>346</v>
      </c>
      <c r="B171" s="16" t="s">
        <v>253</v>
      </c>
      <c r="C171" s="14" t="s">
        <v>16</v>
      </c>
      <c r="D171" s="6" t="s">
        <v>169</v>
      </c>
      <c r="G171" s="9"/>
      <c r="H171" s="10"/>
      <c r="I171" s="8"/>
      <c r="J171" s="9"/>
      <c r="K171" s="8"/>
      <c r="P171" s="10" t="e">
        <f>VLOOKUP($O171,codetabel!$A$1:$B$12,2,FALSE)</f>
        <v>#N/A</v>
      </c>
      <c r="Q171" s="11"/>
      <c r="R171" s="54" t="str">
        <f t="shared" si="7"/>
        <v/>
      </c>
      <c r="Y171" s="5"/>
    </row>
    <row r="172" spans="1:25" ht="22.5">
      <c r="A172" s="2" t="s">
        <v>346</v>
      </c>
      <c r="B172" s="16" t="s">
        <v>253</v>
      </c>
      <c r="C172" s="14" t="s">
        <v>16</v>
      </c>
      <c r="D172" s="6" t="s">
        <v>347</v>
      </c>
      <c r="G172" s="9"/>
      <c r="H172" s="10"/>
      <c r="I172" s="8"/>
      <c r="J172" s="9"/>
      <c r="K172" s="8"/>
      <c r="P172" s="10" t="e">
        <f>VLOOKUP($O172,codetabel!$A$1:$B$12,2,FALSE)</f>
        <v>#N/A</v>
      </c>
      <c r="Q172" s="11"/>
      <c r="R172" s="54" t="str">
        <f t="shared" si="7"/>
        <v/>
      </c>
    </row>
    <row r="173" spans="1:25">
      <c r="A173" s="2" t="s">
        <v>348</v>
      </c>
      <c r="B173" s="16" t="s">
        <v>349</v>
      </c>
      <c r="C173" s="14" t="s">
        <v>20</v>
      </c>
      <c r="D173" s="6" t="s">
        <v>350</v>
      </c>
      <c r="G173" s="9"/>
      <c r="H173" s="10"/>
      <c r="I173" s="8"/>
      <c r="J173" s="9"/>
      <c r="K173" s="8"/>
      <c r="P173" s="10" t="e">
        <f>VLOOKUP($O173,codetabel!$A$1:$B$12,2,FALSE)</f>
        <v>#N/A</v>
      </c>
      <c r="Q173" s="11"/>
      <c r="R173" s="54" t="str">
        <f t="shared" si="7"/>
        <v/>
      </c>
    </row>
    <row r="174" spans="1:25">
      <c r="A174" s="2" t="s">
        <v>348</v>
      </c>
      <c r="B174" s="16" t="s">
        <v>349</v>
      </c>
      <c r="C174" s="14" t="s">
        <v>22</v>
      </c>
      <c r="D174" s="6" t="s">
        <v>351</v>
      </c>
      <c r="E174" s="7">
        <v>30</v>
      </c>
      <c r="F174" s="3">
        <v>30</v>
      </c>
      <c r="G174" s="9">
        <v>100</v>
      </c>
      <c r="H174" s="10"/>
      <c r="I174" s="8"/>
      <c r="J174" s="9">
        <v>30</v>
      </c>
      <c r="K174" s="8"/>
      <c r="L174" s="3">
        <v>1</v>
      </c>
      <c r="M174" s="3" t="s">
        <v>26</v>
      </c>
      <c r="O174" s="9">
        <f>MAX(J174,G174,F174,E174)</f>
        <v>100</v>
      </c>
      <c r="P174" s="10" t="str">
        <f>VLOOKUP($O174,codetabel!$A$1:$B$12,2,FALSE)</f>
        <v>3.2</v>
      </c>
      <c r="Q174" s="11"/>
      <c r="R174" s="54" t="str">
        <f t="shared" si="7"/>
        <v>3.2</v>
      </c>
    </row>
    <row r="175" spans="1:25">
      <c r="A175" s="2" t="s">
        <v>348</v>
      </c>
      <c r="B175" s="16" t="s">
        <v>349</v>
      </c>
      <c r="C175" s="14" t="s">
        <v>46</v>
      </c>
      <c r="D175" s="6" t="s">
        <v>352</v>
      </c>
      <c r="E175" s="7">
        <v>30</v>
      </c>
      <c r="F175" s="3">
        <v>100</v>
      </c>
      <c r="G175" s="9">
        <v>300</v>
      </c>
      <c r="H175" s="10" t="s">
        <v>24</v>
      </c>
      <c r="I175" s="8" t="s">
        <v>70</v>
      </c>
      <c r="J175" s="9">
        <v>50</v>
      </c>
      <c r="K175" s="8" t="s">
        <v>25</v>
      </c>
      <c r="L175" s="3">
        <v>2</v>
      </c>
      <c r="M175" s="3" t="s">
        <v>26</v>
      </c>
      <c r="O175" s="9">
        <f>MAX(J175,G175,F175,E175)</f>
        <v>300</v>
      </c>
      <c r="P175" s="10" t="str">
        <f>VLOOKUP($O175,codetabel!$A$1:$B$12,2,FALSE)</f>
        <v>4.2</v>
      </c>
      <c r="Q175" s="11"/>
      <c r="R175" s="54" t="str">
        <f t="shared" si="7"/>
        <v>4.2</v>
      </c>
    </row>
    <row r="176" spans="1:25">
      <c r="A176" s="2" t="s">
        <v>348</v>
      </c>
      <c r="B176" s="16" t="s">
        <v>349</v>
      </c>
      <c r="C176" s="14" t="s">
        <v>29</v>
      </c>
      <c r="D176" s="6" t="s">
        <v>353</v>
      </c>
      <c r="E176" s="7">
        <v>300</v>
      </c>
      <c r="F176" s="3">
        <v>100</v>
      </c>
      <c r="G176" s="9">
        <v>100</v>
      </c>
      <c r="H176" s="10"/>
      <c r="I176" s="8"/>
      <c r="J176" s="9">
        <v>30</v>
      </c>
      <c r="K176" s="8"/>
      <c r="L176" s="3">
        <v>1</v>
      </c>
      <c r="M176" s="3" t="s">
        <v>26</v>
      </c>
      <c r="O176" s="9">
        <f>MAX(J176,G176,F176,E176)</f>
        <v>300</v>
      </c>
      <c r="P176" s="10" t="str">
        <f>VLOOKUP($O176,codetabel!$A$1:$B$12,2,FALSE)</f>
        <v>4.2</v>
      </c>
      <c r="Q176" s="11"/>
      <c r="R176" s="54" t="str">
        <f t="shared" si="7"/>
        <v>4.2</v>
      </c>
    </row>
    <row r="177" spans="1:18">
      <c r="A177" s="2" t="s">
        <v>354</v>
      </c>
      <c r="B177" s="16" t="s">
        <v>349</v>
      </c>
      <c r="D177" s="6" t="s">
        <v>355</v>
      </c>
      <c r="E177" s="7">
        <v>10</v>
      </c>
      <c r="F177" s="3">
        <v>30</v>
      </c>
      <c r="G177" s="9">
        <v>50</v>
      </c>
      <c r="H177" s="10"/>
      <c r="I177" s="8"/>
      <c r="J177" s="9">
        <v>10</v>
      </c>
      <c r="K177" s="8"/>
      <c r="L177" s="3">
        <v>1</v>
      </c>
      <c r="M177" s="3" t="s">
        <v>26</v>
      </c>
      <c r="O177" s="9">
        <f>MAX(J177,G177,F177,E177)</f>
        <v>50</v>
      </c>
      <c r="P177" s="10" t="str">
        <f>VLOOKUP($O177,codetabel!$A$1:$B$12,2,FALSE)</f>
        <v>3.1</v>
      </c>
      <c r="Q177" s="11"/>
      <c r="R177" s="54" t="str">
        <f t="shared" si="7"/>
        <v>3.1</v>
      </c>
    </row>
    <row r="178" spans="1:18">
      <c r="A178" s="2" t="s">
        <v>356</v>
      </c>
      <c r="B178" s="16" t="s">
        <v>357</v>
      </c>
      <c r="C178" s="14" t="s">
        <v>20</v>
      </c>
      <c r="D178" s="6" t="s">
        <v>358</v>
      </c>
      <c r="G178" s="9"/>
      <c r="H178" s="10"/>
      <c r="I178" s="8"/>
      <c r="J178" s="9"/>
      <c r="K178" s="8"/>
      <c r="P178" s="10" t="e">
        <f>VLOOKUP($O178,codetabel!$A$1:$B$12,2,FALSE)</f>
        <v>#N/A</v>
      </c>
      <c r="Q178" s="11"/>
      <c r="R178" s="54" t="str">
        <f t="shared" si="7"/>
        <v/>
      </c>
    </row>
    <row r="179" spans="1:18">
      <c r="A179" s="2" t="s">
        <v>356</v>
      </c>
      <c r="B179" s="16" t="s">
        <v>357</v>
      </c>
      <c r="C179" s="14" t="s">
        <v>46</v>
      </c>
      <c r="D179" s="6" t="s">
        <v>359</v>
      </c>
      <c r="E179" s="7">
        <v>30</v>
      </c>
      <c r="F179" s="3">
        <v>50</v>
      </c>
      <c r="G179" s="9">
        <v>100</v>
      </c>
      <c r="H179" s="10"/>
      <c r="I179" s="8"/>
      <c r="J179" s="9">
        <v>30</v>
      </c>
      <c r="K179" s="8"/>
      <c r="L179" s="3">
        <v>2</v>
      </c>
      <c r="M179" s="3" t="s">
        <v>26</v>
      </c>
      <c r="O179" s="9">
        <f>MAX(J179,G179,F179,E179)</f>
        <v>100</v>
      </c>
      <c r="P179" s="10" t="str">
        <f>VLOOKUP($O179,codetabel!$A$1:$B$12,2,FALSE)</f>
        <v>3.2</v>
      </c>
      <c r="Q179" s="11"/>
      <c r="R179" s="54" t="str">
        <f t="shared" si="7"/>
        <v>3.2</v>
      </c>
    </row>
    <row r="180" spans="1:18">
      <c r="A180" s="2" t="s">
        <v>360</v>
      </c>
      <c r="B180" s="16" t="s">
        <v>265</v>
      </c>
      <c r="C180" s="14" t="s">
        <v>260</v>
      </c>
      <c r="D180" s="6" t="s">
        <v>361</v>
      </c>
      <c r="E180" s="7">
        <v>30</v>
      </c>
      <c r="F180" s="3">
        <v>200</v>
      </c>
      <c r="G180" s="9">
        <v>200</v>
      </c>
      <c r="H180" s="10"/>
      <c r="I180" s="8"/>
      <c r="J180" s="9">
        <v>30</v>
      </c>
      <c r="K180" s="8"/>
      <c r="L180" s="3">
        <v>2</v>
      </c>
      <c r="M180" s="3" t="s">
        <v>26</v>
      </c>
      <c r="O180" s="9">
        <f>MAX(J180,G180,F180,E180)</f>
        <v>200</v>
      </c>
      <c r="P180" s="10" t="str">
        <f>VLOOKUP($O180,codetabel!$A$1:$B$12,2,FALSE)</f>
        <v>4.1</v>
      </c>
      <c r="Q180" s="11"/>
      <c r="R180" s="54" t="str">
        <f t="shared" si="7"/>
        <v>4.1</v>
      </c>
    </row>
    <row r="181" spans="1:18">
      <c r="A181" s="2" t="s">
        <v>360</v>
      </c>
      <c r="B181" s="16" t="s">
        <v>265</v>
      </c>
      <c r="C181" s="14" t="s">
        <v>262</v>
      </c>
      <c r="D181" s="6" t="s">
        <v>362</v>
      </c>
      <c r="E181" s="7">
        <v>50</v>
      </c>
      <c r="F181" s="3">
        <v>200</v>
      </c>
      <c r="G181" s="9">
        <v>200</v>
      </c>
      <c r="H181" s="10"/>
      <c r="I181" s="8"/>
      <c r="J181" s="9">
        <v>100</v>
      </c>
      <c r="K181" s="8" t="s">
        <v>25</v>
      </c>
      <c r="L181" s="3">
        <v>2</v>
      </c>
      <c r="M181" s="3" t="s">
        <v>26</v>
      </c>
      <c r="O181" s="9">
        <f>MAX(J181,G181,F181,E181)</f>
        <v>200</v>
      </c>
      <c r="P181" s="10" t="str">
        <f>VLOOKUP($O181,codetabel!$A$1:$B$12,2,FALSE)</f>
        <v>4.1</v>
      </c>
      <c r="Q181" s="11"/>
      <c r="R181" s="54" t="str">
        <f t="shared" si="7"/>
        <v>4.1</v>
      </c>
    </row>
    <row r="182" spans="1:18">
      <c r="A182" s="2" t="s">
        <v>363</v>
      </c>
      <c r="B182" s="16" t="s">
        <v>364</v>
      </c>
      <c r="C182" s="14" t="s">
        <v>20</v>
      </c>
      <c r="D182" s="6" t="s">
        <v>365</v>
      </c>
      <c r="G182" s="9"/>
      <c r="H182" s="10"/>
      <c r="I182" s="8"/>
      <c r="J182" s="9"/>
      <c r="K182" s="8"/>
      <c r="P182" s="10" t="e">
        <f>VLOOKUP($O182,codetabel!$A$1:$B$12,2,FALSE)</f>
        <v>#N/A</v>
      </c>
      <c r="Q182" s="11"/>
      <c r="R182" s="54" t="str">
        <f t="shared" si="7"/>
        <v/>
      </c>
    </row>
    <row r="183" spans="1:18">
      <c r="A183" s="2" t="s">
        <v>366</v>
      </c>
      <c r="B183" s="16" t="s">
        <v>367</v>
      </c>
      <c r="C183" s="14" t="s">
        <v>20</v>
      </c>
      <c r="D183" s="6" t="s">
        <v>368</v>
      </c>
      <c r="G183" s="9"/>
      <c r="H183" s="10"/>
      <c r="I183" s="8"/>
      <c r="J183" s="9"/>
      <c r="K183" s="8"/>
      <c r="P183" s="10" t="e">
        <f>VLOOKUP($O183,codetabel!$A$1:$B$12,2,FALSE)</f>
        <v>#N/A</v>
      </c>
      <c r="Q183" s="11"/>
      <c r="R183" s="54" t="str">
        <f t="shared" si="7"/>
        <v/>
      </c>
    </row>
    <row r="184" spans="1:18">
      <c r="A184" s="2" t="s">
        <v>366</v>
      </c>
      <c r="B184" s="16" t="s">
        <v>367</v>
      </c>
      <c r="C184" s="14" t="s">
        <v>22</v>
      </c>
      <c r="D184" s="6" t="s">
        <v>287</v>
      </c>
      <c r="E184" s="7">
        <v>30</v>
      </c>
      <c r="F184" s="3">
        <v>200</v>
      </c>
      <c r="G184" s="9">
        <v>200</v>
      </c>
      <c r="H184" s="10"/>
      <c r="I184" s="8"/>
      <c r="J184" s="9">
        <v>30</v>
      </c>
      <c r="K184" s="8" t="s">
        <v>25</v>
      </c>
      <c r="L184" s="3">
        <v>2</v>
      </c>
      <c r="M184" s="3" t="s">
        <v>26</v>
      </c>
      <c r="O184" s="9">
        <f>MAX(J184,G184,F184,E184)</f>
        <v>200</v>
      </c>
      <c r="P184" s="10" t="str">
        <f>VLOOKUP($O184,codetabel!$A$1:$B$12,2,FALSE)</f>
        <v>4.1</v>
      </c>
      <c r="Q184" s="11"/>
      <c r="R184" s="54" t="str">
        <f t="shared" si="7"/>
        <v>4.1</v>
      </c>
    </row>
    <row r="185" spans="1:18">
      <c r="A185" s="2" t="s">
        <v>369</v>
      </c>
      <c r="B185" s="16" t="s">
        <v>370</v>
      </c>
      <c r="C185" s="14" t="s">
        <v>20</v>
      </c>
      <c r="D185" s="6" t="s">
        <v>371</v>
      </c>
      <c r="G185" s="9"/>
      <c r="H185" s="10"/>
      <c r="I185" s="8"/>
      <c r="J185" s="9"/>
      <c r="K185" s="8"/>
      <c r="P185" s="10" t="e">
        <f>VLOOKUP($O185,codetabel!$A$1:$B$12,2,FALSE)</f>
        <v>#N/A</v>
      </c>
      <c r="Q185" s="11"/>
      <c r="R185" s="54" t="str">
        <f t="shared" si="7"/>
        <v/>
      </c>
    </row>
    <row r="186" spans="1:18">
      <c r="A186" s="2" t="s">
        <v>369</v>
      </c>
      <c r="B186" s="16" t="s">
        <v>370</v>
      </c>
      <c r="C186" s="14" t="s">
        <v>22</v>
      </c>
      <c r="D186" s="6" t="s">
        <v>287</v>
      </c>
      <c r="E186" s="7">
        <v>30</v>
      </c>
      <c r="F186" s="3">
        <v>200</v>
      </c>
      <c r="G186" s="9">
        <v>200</v>
      </c>
      <c r="H186" s="10"/>
      <c r="I186" s="8"/>
      <c r="J186" s="9">
        <v>30</v>
      </c>
      <c r="K186" s="8" t="s">
        <v>25</v>
      </c>
      <c r="L186" s="3">
        <v>2</v>
      </c>
      <c r="M186" s="3" t="s">
        <v>26</v>
      </c>
      <c r="O186" s="9">
        <f>MAX(J186,G186,F186,E186)</f>
        <v>200</v>
      </c>
      <c r="P186" s="10" t="str">
        <f>VLOOKUP($O186,codetabel!$A$1:$B$12,2,FALSE)</f>
        <v>4.1</v>
      </c>
      <c r="Q186" s="11"/>
      <c r="R186" s="54" t="str">
        <f t="shared" si="7"/>
        <v>4.1</v>
      </c>
    </row>
    <row r="187" spans="1:18">
      <c r="A187" s="2" t="s">
        <v>372</v>
      </c>
      <c r="B187" s="16" t="s">
        <v>373</v>
      </c>
      <c r="C187" s="14" t="s">
        <v>20</v>
      </c>
      <c r="D187" s="6" t="s">
        <v>374</v>
      </c>
      <c r="G187" s="9"/>
      <c r="H187" s="10"/>
      <c r="I187" s="8"/>
      <c r="J187" s="9"/>
      <c r="K187" s="8"/>
      <c r="P187" s="10" t="e">
        <f>VLOOKUP($O187,codetabel!$A$1:$B$12,2,FALSE)</f>
        <v>#N/A</v>
      </c>
      <c r="Q187" s="11"/>
      <c r="R187" s="54" t="str">
        <f t="shared" si="7"/>
        <v/>
      </c>
    </row>
    <row r="188" spans="1:18">
      <c r="A188" s="2" t="s">
        <v>372</v>
      </c>
      <c r="B188" s="16" t="s">
        <v>373</v>
      </c>
      <c r="C188" s="14" t="s">
        <v>22</v>
      </c>
      <c r="D188" s="6" t="s">
        <v>375</v>
      </c>
      <c r="E188" s="7">
        <v>10</v>
      </c>
      <c r="F188" s="3">
        <v>100</v>
      </c>
      <c r="G188" s="9">
        <v>200</v>
      </c>
      <c r="H188" s="10"/>
      <c r="I188" s="8"/>
      <c r="J188" s="9">
        <v>30</v>
      </c>
      <c r="K188" s="8"/>
      <c r="L188" s="3">
        <v>2</v>
      </c>
      <c r="M188" s="3" t="s">
        <v>26</v>
      </c>
      <c r="O188" s="9">
        <f>MAX(J188,G188,F188,E188)</f>
        <v>200</v>
      </c>
      <c r="P188" s="10" t="str">
        <f>VLOOKUP($O188,codetabel!$A$1:$B$12,2,FALSE)</f>
        <v>4.1</v>
      </c>
      <c r="Q188" s="11"/>
      <c r="R188" s="54" t="str">
        <f t="shared" si="7"/>
        <v>4.1</v>
      </c>
    </row>
    <row r="189" spans="1:18">
      <c r="A189" s="2" t="s">
        <v>372</v>
      </c>
      <c r="B189" s="16" t="s">
        <v>373</v>
      </c>
      <c r="C189" s="14" t="s">
        <v>46</v>
      </c>
      <c r="D189" s="6" t="s">
        <v>376</v>
      </c>
      <c r="E189" s="7">
        <v>10</v>
      </c>
      <c r="F189" s="3">
        <v>100</v>
      </c>
      <c r="G189" s="9">
        <v>300</v>
      </c>
      <c r="H189" s="10"/>
      <c r="I189" s="8"/>
      <c r="J189" s="9">
        <v>30</v>
      </c>
      <c r="K189" s="8"/>
      <c r="L189" s="3">
        <v>2</v>
      </c>
      <c r="M189" s="3" t="s">
        <v>26</v>
      </c>
      <c r="O189" s="9">
        <f>MAX(J189,G189,F189,E189)</f>
        <v>300</v>
      </c>
      <c r="P189" s="10" t="str">
        <f>VLOOKUP($O189,codetabel!$A$1:$B$12,2,FALSE)</f>
        <v>4.2</v>
      </c>
      <c r="Q189" s="11"/>
      <c r="R189" s="54" t="str">
        <f t="shared" si="7"/>
        <v>4.2</v>
      </c>
    </row>
    <row r="190" spans="1:18">
      <c r="A190" s="2" t="s">
        <v>377</v>
      </c>
      <c r="B190" s="16" t="s">
        <v>378</v>
      </c>
      <c r="C190" s="14" t="s">
        <v>20</v>
      </c>
      <c r="D190" s="6" t="s">
        <v>379</v>
      </c>
      <c r="G190" s="9"/>
      <c r="H190" s="10"/>
      <c r="I190" s="8"/>
      <c r="J190" s="9"/>
      <c r="K190" s="8"/>
      <c r="P190" s="10" t="e">
        <f>VLOOKUP($O190,codetabel!$A$1:$B$12,2,FALSE)</f>
        <v>#N/A</v>
      </c>
      <c r="Q190" s="11"/>
      <c r="R190" s="54" t="str">
        <f t="shared" si="7"/>
        <v/>
      </c>
    </row>
    <row r="191" spans="1:18">
      <c r="A191" s="2" t="s">
        <v>377</v>
      </c>
      <c r="B191" s="16" t="s">
        <v>378</v>
      </c>
      <c r="C191" s="14" t="s">
        <v>22</v>
      </c>
      <c r="D191" s="6" t="s">
        <v>287</v>
      </c>
      <c r="E191" s="7">
        <v>10</v>
      </c>
      <c r="F191" s="3">
        <v>50</v>
      </c>
      <c r="G191" s="9">
        <v>100</v>
      </c>
      <c r="H191" s="10"/>
      <c r="I191" s="8"/>
      <c r="J191" s="9">
        <v>30</v>
      </c>
      <c r="K191" s="8"/>
      <c r="L191" s="3">
        <v>2</v>
      </c>
      <c r="M191" s="3" t="s">
        <v>26</v>
      </c>
      <c r="O191" s="9">
        <f>MAX(J191,G191,F191,E191)</f>
        <v>100</v>
      </c>
      <c r="P191" s="10" t="str">
        <f>VLOOKUP($O191,codetabel!$A$1:$B$12,2,FALSE)</f>
        <v>3.2</v>
      </c>
      <c r="Q191" s="11"/>
      <c r="R191" s="54" t="str">
        <f t="shared" si="7"/>
        <v>3.2</v>
      </c>
    </row>
    <row r="192" spans="1:18">
      <c r="A192" s="2" t="s">
        <v>377</v>
      </c>
      <c r="B192" s="16" t="s">
        <v>378</v>
      </c>
      <c r="C192" s="14" t="s">
        <v>46</v>
      </c>
      <c r="D192" s="6" t="s">
        <v>289</v>
      </c>
      <c r="E192" s="7">
        <v>30</v>
      </c>
      <c r="F192" s="3">
        <v>200</v>
      </c>
      <c r="G192" s="9">
        <v>300</v>
      </c>
      <c r="H192" s="10"/>
      <c r="I192" s="8" t="s">
        <v>70</v>
      </c>
      <c r="J192" s="9">
        <v>30</v>
      </c>
      <c r="K192" s="8"/>
      <c r="L192" s="3">
        <v>3</v>
      </c>
      <c r="M192" s="3" t="s">
        <v>26</v>
      </c>
      <c r="O192" s="9">
        <f>MAX(J192,G192,F192,E192)</f>
        <v>300</v>
      </c>
      <c r="P192" s="10" t="str">
        <f>VLOOKUP($O192,codetabel!$A$1:$B$12,2,FALSE)</f>
        <v>4.2</v>
      </c>
      <c r="Q192" s="11"/>
      <c r="R192" s="54" t="str">
        <f t="shared" si="7"/>
        <v>4.2</v>
      </c>
    </row>
    <row r="193" spans="1:26">
      <c r="A193" s="2" t="s">
        <v>380</v>
      </c>
      <c r="B193" s="16" t="s">
        <v>381</v>
      </c>
      <c r="D193" s="6" t="s">
        <v>382</v>
      </c>
      <c r="E193" s="7">
        <v>50</v>
      </c>
      <c r="F193" s="3">
        <v>50</v>
      </c>
      <c r="G193" s="9">
        <v>100</v>
      </c>
      <c r="H193" s="10"/>
      <c r="I193" s="8"/>
      <c r="J193" s="9">
        <v>30</v>
      </c>
      <c r="K193" s="8"/>
      <c r="L193" s="3">
        <v>2</v>
      </c>
      <c r="M193" s="3" t="s">
        <v>26</v>
      </c>
      <c r="O193" s="9">
        <f>MAX(J193,G193,F193,E193)</f>
        <v>100</v>
      </c>
      <c r="P193" s="10" t="str">
        <f>VLOOKUP($O193,codetabel!$A$1:$B$12,2,FALSE)</f>
        <v>3.2</v>
      </c>
      <c r="Q193" s="11"/>
      <c r="R193" s="54" t="str">
        <f t="shared" si="7"/>
        <v>3.2</v>
      </c>
    </row>
    <row r="194" spans="1:26">
      <c r="A194" s="2" t="s">
        <v>383</v>
      </c>
      <c r="B194" s="16" t="s">
        <v>384</v>
      </c>
      <c r="C194" s="14" t="s">
        <v>20</v>
      </c>
      <c r="D194" s="6" t="s">
        <v>385</v>
      </c>
      <c r="G194" s="9"/>
      <c r="H194" s="10"/>
      <c r="I194" s="8"/>
      <c r="J194" s="9"/>
      <c r="K194" s="8"/>
      <c r="P194" s="10" t="e">
        <f>VLOOKUP($O194,codetabel!$A$1:$B$12,2,FALSE)</f>
        <v>#N/A</v>
      </c>
      <c r="Q194" s="11"/>
      <c r="R194" s="54" t="str">
        <f t="shared" si="7"/>
        <v/>
      </c>
    </row>
    <row r="195" spans="1:26">
      <c r="A195" s="2" t="s">
        <v>383</v>
      </c>
      <c r="B195" s="16" t="s">
        <v>384</v>
      </c>
      <c r="C195" s="14" t="s">
        <v>22</v>
      </c>
      <c r="D195" s="6" t="s">
        <v>386</v>
      </c>
      <c r="E195" s="7">
        <v>10</v>
      </c>
      <c r="F195" s="3">
        <v>50</v>
      </c>
      <c r="G195" s="9">
        <v>100</v>
      </c>
      <c r="H195" s="10"/>
      <c r="I195" s="8"/>
      <c r="J195" s="9">
        <v>10</v>
      </c>
      <c r="K195" s="8"/>
      <c r="L195" s="3">
        <v>3</v>
      </c>
      <c r="M195" s="3" t="s">
        <v>26</v>
      </c>
      <c r="O195" s="9">
        <f>MAX(J195,G195,F195,E195)</f>
        <v>100</v>
      </c>
      <c r="P195" s="10" t="str">
        <f>VLOOKUP($O195,codetabel!$A$1:$B$12,2,FALSE)</f>
        <v>3.2</v>
      </c>
      <c r="Q195" s="11"/>
      <c r="R195" s="54" t="str">
        <f t="shared" si="7"/>
        <v>3.2</v>
      </c>
    </row>
    <row r="196" spans="1:26">
      <c r="A196" s="2" t="s">
        <v>383</v>
      </c>
      <c r="B196" s="16" t="s">
        <v>384</v>
      </c>
      <c r="C196" s="14" t="s">
        <v>46</v>
      </c>
      <c r="D196" s="6" t="s">
        <v>387</v>
      </c>
      <c r="E196" s="7">
        <v>30</v>
      </c>
      <c r="F196" s="3">
        <v>200</v>
      </c>
      <c r="G196" s="9">
        <v>300</v>
      </c>
      <c r="H196" s="10"/>
      <c r="I196" s="8" t="s">
        <v>70</v>
      </c>
      <c r="J196" s="9">
        <v>10</v>
      </c>
      <c r="K196" s="8"/>
      <c r="L196" s="3">
        <v>3</v>
      </c>
      <c r="M196" s="3" t="s">
        <v>26</v>
      </c>
      <c r="O196" s="9">
        <f>MAX(J196,G196,F196,E196)</f>
        <v>300</v>
      </c>
      <c r="P196" s="10" t="str">
        <f>VLOOKUP($O196,codetabel!$A$1:$B$12,2,FALSE)</f>
        <v>4.2</v>
      </c>
      <c r="Q196" s="11"/>
      <c r="R196" s="54" t="str">
        <f t="shared" ref="R196:R227" si="8">IF(ISNA(P196),"",P196)</f>
        <v>4.2</v>
      </c>
    </row>
    <row r="197" spans="1:26">
      <c r="A197" s="2" t="s">
        <v>388</v>
      </c>
      <c r="B197" s="16" t="s">
        <v>389</v>
      </c>
      <c r="C197" s="14" t="s">
        <v>20</v>
      </c>
      <c r="D197" s="6" t="s">
        <v>390</v>
      </c>
      <c r="G197" s="9"/>
      <c r="H197" s="10"/>
      <c r="I197" s="8"/>
      <c r="J197" s="9"/>
      <c r="K197" s="8"/>
      <c r="P197" s="10" t="e">
        <f>VLOOKUP($O197,codetabel!$A$1:$B$12,2,FALSE)</f>
        <v>#N/A</v>
      </c>
      <c r="Q197" s="11"/>
      <c r="R197" s="54" t="str">
        <f t="shared" si="8"/>
        <v/>
      </c>
    </row>
    <row r="198" spans="1:26">
      <c r="A198" s="2" t="s">
        <v>388</v>
      </c>
      <c r="B198" s="16" t="s">
        <v>389</v>
      </c>
      <c r="C198" s="14" t="s">
        <v>22</v>
      </c>
      <c r="D198" s="6" t="s">
        <v>391</v>
      </c>
      <c r="E198" s="7">
        <v>10</v>
      </c>
      <c r="F198" s="3">
        <v>50</v>
      </c>
      <c r="G198" s="9">
        <v>100</v>
      </c>
      <c r="H198" s="10"/>
      <c r="I198" s="8"/>
      <c r="J198" s="9">
        <v>50</v>
      </c>
      <c r="K198" s="8" t="s">
        <v>25</v>
      </c>
      <c r="L198" s="3">
        <v>2</v>
      </c>
      <c r="M198" s="3" t="s">
        <v>26</v>
      </c>
      <c r="O198" s="9">
        <f>MAX(J198,G198,F198,E198)</f>
        <v>100</v>
      </c>
      <c r="P198" s="10" t="str">
        <f>VLOOKUP($O198,codetabel!$A$1:$B$12,2,FALSE)</f>
        <v>3.2</v>
      </c>
      <c r="Q198" s="11"/>
      <c r="R198" s="54" t="str">
        <f t="shared" si="8"/>
        <v>3.2</v>
      </c>
    </row>
    <row r="199" spans="1:26">
      <c r="A199" s="2" t="s">
        <v>388</v>
      </c>
      <c r="B199" s="16" t="s">
        <v>389</v>
      </c>
      <c r="C199" s="14" t="s">
        <v>46</v>
      </c>
      <c r="D199" s="6" t="s">
        <v>392</v>
      </c>
      <c r="E199" s="7">
        <v>30</v>
      </c>
      <c r="F199" s="3">
        <v>200</v>
      </c>
      <c r="G199" s="9">
        <v>300</v>
      </c>
      <c r="H199" s="10"/>
      <c r="I199" s="8" t="s">
        <v>70</v>
      </c>
      <c r="J199" s="9">
        <v>200</v>
      </c>
      <c r="K199" s="8" t="s">
        <v>25</v>
      </c>
      <c r="L199" s="3">
        <v>3</v>
      </c>
      <c r="M199" s="3" t="s">
        <v>26</v>
      </c>
      <c r="O199" s="9">
        <f>MAX(J199,G199,F199,E199)</f>
        <v>300</v>
      </c>
      <c r="P199" s="10" t="str">
        <f>VLOOKUP($O199,codetabel!$A$1:$B$12,2,FALSE)</f>
        <v>4.2</v>
      </c>
      <c r="Q199" s="11"/>
      <c r="R199" s="54" t="str">
        <f t="shared" si="8"/>
        <v>4.2</v>
      </c>
    </row>
    <row r="200" spans="1:26">
      <c r="A200" s="2" t="s">
        <v>393</v>
      </c>
      <c r="B200" s="16" t="s">
        <v>394</v>
      </c>
      <c r="C200" s="14" t="s">
        <v>20</v>
      </c>
      <c r="D200" s="6" t="s">
        <v>395</v>
      </c>
      <c r="G200" s="9"/>
      <c r="H200" s="10"/>
      <c r="I200" s="8"/>
      <c r="J200" s="9"/>
      <c r="K200" s="8"/>
      <c r="P200" s="10" t="e">
        <f>VLOOKUP($O200,codetabel!$A$1:$B$12,2,FALSE)</f>
        <v>#N/A</v>
      </c>
      <c r="Q200" s="11"/>
      <c r="R200" s="54" t="str">
        <f t="shared" si="8"/>
        <v/>
      </c>
    </row>
    <row r="201" spans="1:26">
      <c r="A201" s="2" t="s">
        <v>393</v>
      </c>
      <c r="B201" s="16" t="s">
        <v>394</v>
      </c>
      <c r="C201" s="14" t="s">
        <v>22</v>
      </c>
      <c r="D201" s="6" t="s">
        <v>396</v>
      </c>
      <c r="E201" s="7">
        <v>10</v>
      </c>
      <c r="F201" s="3">
        <v>30</v>
      </c>
      <c r="G201" s="9">
        <v>100</v>
      </c>
      <c r="H201" s="10"/>
      <c r="I201" s="8"/>
      <c r="J201" s="9">
        <v>0</v>
      </c>
      <c r="K201" s="8"/>
      <c r="L201" s="3">
        <v>1</v>
      </c>
      <c r="M201" s="3" t="s">
        <v>26</v>
      </c>
      <c r="O201" s="9">
        <f>MAX(J201,G201,F201,E201)</f>
        <v>100</v>
      </c>
      <c r="P201" s="10" t="str">
        <f>VLOOKUP($O201,codetabel!$A$1:$B$12,2,FALSE)</f>
        <v>3.2</v>
      </c>
      <c r="Q201" s="11" t="s">
        <v>27</v>
      </c>
      <c r="R201" s="54" t="str">
        <f t="shared" si="8"/>
        <v>3.2</v>
      </c>
    </row>
    <row r="202" spans="1:26">
      <c r="A202" s="2" t="s">
        <v>393</v>
      </c>
      <c r="B202" s="16" t="s">
        <v>394</v>
      </c>
      <c r="C202" s="14" t="s">
        <v>46</v>
      </c>
      <c r="D202" s="6" t="s">
        <v>397</v>
      </c>
      <c r="E202" s="7">
        <v>10</v>
      </c>
      <c r="F202" s="3">
        <v>30</v>
      </c>
      <c r="G202" s="9">
        <v>50</v>
      </c>
      <c r="H202" s="10"/>
      <c r="I202" s="8"/>
      <c r="J202" s="9">
        <v>0</v>
      </c>
      <c r="K202" s="8"/>
      <c r="L202" s="3">
        <v>1</v>
      </c>
      <c r="M202" s="3" t="s">
        <v>26</v>
      </c>
      <c r="O202" s="9">
        <f>MAX(J202,G202,F202,E202)</f>
        <v>50</v>
      </c>
      <c r="P202" s="10" t="str">
        <f>VLOOKUP($O202,codetabel!$A$1:$B$12,2,FALSE)</f>
        <v>3.1</v>
      </c>
      <c r="Q202" s="11"/>
      <c r="R202" s="54" t="str">
        <f t="shared" si="8"/>
        <v>3.1</v>
      </c>
      <c r="X202" s="3" t="s">
        <v>35</v>
      </c>
    </row>
    <row r="203" spans="1:26">
      <c r="A203" s="2" t="s">
        <v>393</v>
      </c>
      <c r="B203" s="16" t="s">
        <v>394</v>
      </c>
      <c r="C203" s="14" t="s">
        <v>29</v>
      </c>
      <c r="D203" s="6" t="s">
        <v>398</v>
      </c>
      <c r="E203" s="7">
        <v>10</v>
      </c>
      <c r="F203" s="3">
        <v>100</v>
      </c>
      <c r="G203" s="9">
        <v>300</v>
      </c>
      <c r="H203" s="10"/>
      <c r="I203" s="8"/>
      <c r="J203" s="9">
        <v>10</v>
      </c>
      <c r="K203" s="8"/>
      <c r="L203" s="3">
        <v>1</v>
      </c>
      <c r="M203" s="3" t="s">
        <v>26</v>
      </c>
      <c r="O203" s="9">
        <f>MAX(J203,G203,F203,E203)</f>
        <v>300</v>
      </c>
      <c r="P203" s="10" t="str">
        <f>VLOOKUP($O203,codetabel!$A$1:$B$12,2,FALSE)</f>
        <v>4.2</v>
      </c>
      <c r="Q203" s="11"/>
      <c r="R203" s="54" t="str">
        <f t="shared" si="8"/>
        <v>4.2</v>
      </c>
    </row>
    <row r="204" spans="1:26">
      <c r="A204" s="2" t="s">
        <v>399</v>
      </c>
      <c r="B204" s="16" t="s">
        <v>400</v>
      </c>
      <c r="D204" s="6" t="s">
        <v>401</v>
      </c>
      <c r="E204" s="7">
        <v>10</v>
      </c>
      <c r="F204" s="3">
        <v>30</v>
      </c>
      <c r="G204" s="9">
        <v>50</v>
      </c>
      <c r="H204" s="10"/>
      <c r="I204" s="8"/>
      <c r="J204" s="9">
        <v>10</v>
      </c>
      <c r="K204" s="8"/>
      <c r="L204" s="3">
        <v>1</v>
      </c>
      <c r="M204" s="3" t="s">
        <v>26</v>
      </c>
      <c r="O204" s="9">
        <f>MAX(J204,G204,F204,E204)</f>
        <v>50</v>
      </c>
      <c r="P204" s="10" t="str">
        <f>VLOOKUP($O204,codetabel!$A$1:$B$12,2,FALSE)</f>
        <v>3.1</v>
      </c>
      <c r="Q204" s="11" t="s">
        <v>27</v>
      </c>
      <c r="R204" s="54" t="str">
        <f t="shared" si="8"/>
        <v>3.1</v>
      </c>
    </row>
    <row r="205" spans="1:26">
      <c r="A205" s="2" t="s">
        <v>402</v>
      </c>
      <c r="B205" s="16" t="s">
        <v>403</v>
      </c>
      <c r="C205" s="14" t="s">
        <v>281</v>
      </c>
      <c r="D205" s="6" t="s">
        <v>404</v>
      </c>
      <c r="G205" s="9"/>
      <c r="H205" s="10"/>
      <c r="I205" s="8"/>
      <c r="J205" s="9"/>
      <c r="K205" s="8"/>
      <c r="P205" s="10" t="e">
        <f>VLOOKUP($O205,codetabel!$A$1:$B$12,2,FALSE)</f>
        <v>#N/A</v>
      </c>
      <c r="Q205" s="11"/>
      <c r="R205" s="54" t="str">
        <f t="shared" si="8"/>
        <v/>
      </c>
      <c r="Z205" s="5"/>
    </row>
    <row r="206" spans="1:26">
      <c r="A206" s="2" t="s">
        <v>402</v>
      </c>
      <c r="B206" s="16" t="s">
        <v>403</v>
      </c>
      <c r="C206" s="14" t="s">
        <v>283</v>
      </c>
      <c r="D206" s="6" t="s">
        <v>386</v>
      </c>
      <c r="E206" s="7">
        <v>300</v>
      </c>
      <c r="F206" s="3">
        <v>100</v>
      </c>
      <c r="G206" s="9">
        <v>100</v>
      </c>
      <c r="H206" s="10"/>
      <c r="I206" s="8"/>
      <c r="J206" s="9">
        <v>30</v>
      </c>
      <c r="K206" s="8"/>
      <c r="L206" s="3">
        <v>3</v>
      </c>
      <c r="M206" s="3" t="s">
        <v>26</v>
      </c>
      <c r="O206" s="9">
        <f>MAX(J206,G206,F206,E206)</f>
        <v>300</v>
      </c>
      <c r="P206" s="10" t="str">
        <f>VLOOKUP($O206,codetabel!$A$1:$B$12,2,FALSE)</f>
        <v>4.2</v>
      </c>
      <c r="Q206" s="11"/>
      <c r="R206" s="54" t="str">
        <f t="shared" si="8"/>
        <v>4.2</v>
      </c>
      <c r="Z206" s="5"/>
    </row>
    <row r="207" spans="1:26">
      <c r="A207" s="2" t="s">
        <v>402</v>
      </c>
      <c r="B207" s="16" t="s">
        <v>403</v>
      </c>
      <c r="C207" s="14" t="s">
        <v>284</v>
      </c>
      <c r="D207" s="6" t="s">
        <v>405</v>
      </c>
      <c r="G207" s="9"/>
      <c r="H207" s="10"/>
      <c r="I207" s="8"/>
      <c r="J207" s="9"/>
      <c r="K207" s="8"/>
      <c r="P207" s="10" t="e">
        <f>VLOOKUP($O207,codetabel!$A$1:$B$12,2,FALSE)</f>
        <v>#N/A</v>
      </c>
      <c r="Q207" s="11"/>
      <c r="R207" s="54" t="str">
        <f t="shared" si="8"/>
        <v/>
      </c>
      <c r="Z207" s="5"/>
    </row>
    <row r="208" spans="1:26">
      <c r="A208" s="2" t="s">
        <v>402</v>
      </c>
      <c r="B208" s="16" t="s">
        <v>403</v>
      </c>
      <c r="C208" s="14" t="s">
        <v>286</v>
      </c>
      <c r="D208" s="6" t="s">
        <v>406</v>
      </c>
      <c r="E208" s="7">
        <v>100</v>
      </c>
      <c r="F208" s="3">
        <v>200</v>
      </c>
      <c r="G208" s="9">
        <v>300</v>
      </c>
      <c r="H208" s="10" t="s">
        <v>24</v>
      </c>
      <c r="I208" s="8" t="s">
        <v>70</v>
      </c>
      <c r="J208" s="9">
        <v>30</v>
      </c>
      <c r="K208" s="8"/>
      <c r="L208" s="3">
        <v>2</v>
      </c>
      <c r="M208" s="3" t="s">
        <v>26</v>
      </c>
      <c r="O208" s="9">
        <f>MAX(J208,G208,F208,E208)</f>
        <v>300</v>
      </c>
      <c r="P208" s="10" t="str">
        <f>VLOOKUP($O208,codetabel!$A$1:$B$12,2,FALSE)</f>
        <v>4.2</v>
      </c>
      <c r="Q208" s="11"/>
      <c r="R208" s="54" t="str">
        <f t="shared" si="8"/>
        <v>4.2</v>
      </c>
      <c r="Z208" s="5"/>
    </row>
    <row r="209" spans="1:26">
      <c r="A209" s="2" t="s">
        <v>402</v>
      </c>
      <c r="B209" s="16" t="s">
        <v>403</v>
      </c>
      <c r="C209" s="14" t="s">
        <v>288</v>
      </c>
      <c r="D209" s="6" t="s">
        <v>407</v>
      </c>
      <c r="E209" s="7">
        <v>200</v>
      </c>
      <c r="F209" s="3">
        <v>100</v>
      </c>
      <c r="G209" s="9">
        <v>100</v>
      </c>
      <c r="H209" s="10" t="s">
        <v>24</v>
      </c>
      <c r="I209" s="8"/>
      <c r="J209" s="9">
        <v>50</v>
      </c>
      <c r="K209" s="8"/>
      <c r="L209" s="3">
        <v>2</v>
      </c>
      <c r="M209" s="3" t="s">
        <v>26</v>
      </c>
      <c r="O209" s="9">
        <f>MAX(J209,G209,F209,E209)</f>
        <v>200</v>
      </c>
      <c r="P209" s="10" t="str">
        <f>VLOOKUP($O209,codetabel!$A$1:$B$12,2,FALSE)</f>
        <v>4.1</v>
      </c>
      <c r="Q209" s="11"/>
      <c r="R209" s="54" t="str">
        <f t="shared" si="8"/>
        <v>4.1</v>
      </c>
      <c r="Z209" s="5"/>
    </row>
    <row r="210" spans="1:26">
      <c r="A210" s="2" t="s">
        <v>402</v>
      </c>
      <c r="B210" s="16" t="s">
        <v>403</v>
      </c>
      <c r="C210" s="14" t="s">
        <v>24</v>
      </c>
      <c r="D210" s="6" t="s">
        <v>408</v>
      </c>
      <c r="E210" s="7">
        <v>50</v>
      </c>
      <c r="F210" s="3">
        <v>50</v>
      </c>
      <c r="G210" s="9">
        <v>100</v>
      </c>
      <c r="H210" s="10"/>
      <c r="I210" s="8"/>
      <c r="J210" s="9">
        <v>50</v>
      </c>
      <c r="K210" s="8"/>
      <c r="L210" s="3">
        <v>2</v>
      </c>
      <c r="M210" s="3" t="s">
        <v>26</v>
      </c>
      <c r="O210" s="9">
        <f>MAX(J210,G210,F210,E210)</f>
        <v>100</v>
      </c>
      <c r="P210" s="10" t="str">
        <f>VLOOKUP($O210,codetabel!$A$1:$B$12,2,FALSE)</f>
        <v>3.2</v>
      </c>
      <c r="Q210" s="11" t="s">
        <v>27</v>
      </c>
      <c r="R210" s="54" t="str">
        <f t="shared" si="8"/>
        <v>3.2</v>
      </c>
      <c r="Z210" s="5"/>
    </row>
    <row r="211" spans="1:26">
      <c r="A211" s="2" t="s">
        <v>402</v>
      </c>
      <c r="B211" s="16" t="s">
        <v>403</v>
      </c>
      <c r="C211" s="14" t="s">
        <v>409</v>
      </c>
      <c r="D211" s="6" t="s">
        <v>410</v>
      </c>
      <c r="E211" s="7">
        <v>100</v>
      </c>
      <c r="F211" s="3">
        <v>50</v>
      </c>
      <c r="G211" s="9">
        <v>200</v>
      </c>
      <c r="H211" s="10"/>
      <c r="I211" s="8"/>
      <c r="J211" s="9">
        <v>30</v>
      </c>
      <c r="K211" s="8"/>
      <c r="L211" s="3">
        <v>3</v>
      </c>
      <c r="M211" s="3" t="s">
        <v>26</v>
      </c>
      <c r="O211" s="9">
        <f>MAX(J211,G211,F211,E211)</f>
        <v>200</v>
      </c>
      <c r="P211" s="10" t="str">
        <f>VLOOKUP($O211,codetabel!$A$1:$B$12,2,FALSE)</f>
        <v>4.1</v>
      </c>
      <c r="Q211" s="11"/>
      <c r="R211" s="54" t="str">
        <f t="shared" si="8"/>
        <v>4.1</v>
      </c>
      <c r="Z211" s="5"/>
    </row>
    <row r="212" spans="1:26">
      <c r="A212" s="2" t="s">
        <v>402</v>
      </c>
      <c r="B212" s="16" t="s">
        <v>403</v>
      </c>
      <c r="C212" s="14" t="s">
        <v>411</v>
      </c>
      <c r="D212" s="6" t="s">
        <v>412</v>
      </c>
      <c r="E212" s="7">
        <v>200</v>
      </c>
      <c r="F212" s="3">
        <v>100</v>
      </c>
      <c r="G212" s="9">
        <v>300</v>
      </c>
      <c r="H212" s="10"/>
      <c r="I212" s="8" t="s">
        <v>70</v>
      </c>
      <c r="J212" s="9">
        <v>50</v>
      </c>
      <c r="K212" s="8"/>
      <c r="L212" s="3">
        <v>3</v>
      </c>
      <c r="M212" s="3" t="s">
        <v>26</v>
      </c>
      <c r="O212" s="9">
        <f>MAX(J212,G212,F212,E212)</f>
        <v>300</v>
      </c>
      <c r="P212" s="10" t="str">
        <f>VLOOKUP($O212,codetabel!$A$1:$B$12,2,FALSE)</f>
        <v>4.2</v>
      </c>
      <c r="Q212" s="11"/>
      <c r="R212" s="54" t="str">
        <f t="shared" si="8"/>
        <v>4.2</v>
      </c>
      <c r="X212" s="3" t="s">
        <v>35</v>
      </c>
      <c r="Y212" s="5"/>
      <c r="Z212" s="5"/>
    </row>
    <row r="213" spans="1:26">
      <c r="A213" s="2" t="s">
        <v>413</v>
      </c>
      <c r="B213" s="16" t="s">
        <v>268</v>
      </c>
      <c r="C213" s="14" t="s">
        <v>16</v>
      </c>
      <c r="D213" s="6" t="s">
        <v>169</v>
      </c>
      <c r="G213" s="9"/>
      <c r="H213" s="10"/>
      <c r="I213" s="8"/>
      <c r="J213" s="9"/>
      <c r="K213" s="8"/>
      <c r="P213" s="10" t="e">
        <f>VLOOKUP($O213,codetabel!$A$1:$B$12,2,FALSE)</f>
        <v>#N/A</v>
      </c>
      <c r="Q213" s="11"/>
      <c r="R213" s="54" t="str">
        <f t="shared" si="8"/>
        <v/>
      </c>
      <c r="Y213" s="5"/>
      <c r="Z213" s="5"/>
    </row>
    <row r="214" spans="1:26">
      <c r="A214" s="2" t="s">
        <v>413</v>
      </c>
      <c r="B214" s="16" t="s">
        <v>268</v>
      </c>
      <c r="C214" s="14" t="s">
        <v>16</v>
      </c>
      <c r="D214" s="6" t="s">
        <v>414</v>
      </c>
      <c r="G214" s="9"/>
      <c r="H214" s="10"/>
      <c r="I214" s="8"/>
      <c r="J214" s="9"/>
      <c r="K214" s="8"/>
      <c r="P214" s="10" t="e">
        <f>VLOOKUP($O214,codetabel!$A$1:$B$12,2,FALSE)</f>
        <v>#N/A</v>
      </c>
      <c r="Q214" s="11"/>
      <c r="R214" s="54" t="str">
        <f t="shared" si="8"/>
        <v/>
      </c>
      <c r="Z214" s="5"/>
    </row>
    <row r="215" spans="1:26">
      <c r="A215" s="2" t="s">
        <v>415</v>
      </c>
      <c r="B215" s="16" t="s">
        <v>416</v>
      </c>
      <c r="C215" s="14" t="s">
        <v>20</v>
      </c>
      <c r="D215" s="6" t="s">
        <v>417</v>
      </c>
      <c r="G215" s="9"/>
      <c r="H215" s="10"/>
      <c r="I215" s="8"/>
      <c r="J215" s="9"/>
      <c r="K215" s="8"/>
      <c r="P215" s="10" t="e">
        <f>VLOOKUP($O215,codetabel!$A$1:$B$12,2,FALSE)</f>
        <v>#N/A</v>
      </c>
      <c r="Q215" s="11"/>
      <c r="R215" s="54" t="str">
        <f t="shared" si="8"/>
        <v/>
      </c>
      <c r="Z215" s="5"/>
    </row>
    <row r="216" spans="1:26">
      <c r="A216" s="2" t="s">
        <v>415</v>
      </c>
      <c r="B216" s="16" t="s">
        <v>416</v>
      </c>
      <c r="C216" s="14" t="s">
        <v>46</v>
      </c>
      <c r="D216" s="6" t="s">
        <v>418</v>
      </c>
      <c r="E216" s="7">
        <v>1500</v>
      </c>
      <c r="F216" s="3">
        <v>1000</v>
      </c>
      <c r="G216" s="9">
        <v>1500</v>
      </c>
      <c r="H216" s="10" t="s">
        <v>24</v>
      </c>
      <c r="I216" s="8" t="s">
        <v>70</v>
      </c>
      <c r="J216" s="9">
        <v>300</v>
      </c>
      <c r="K216" s="8" t="s">
        <v>25</v>
      </c>
      <c r="L216" s="3">
        <v>3</v>
      </c>
      <c r="M216" s="3" t="s">
        <v>26</v>
      </c>
      <c r="O216" s="9">
        <f>MAX(J216,G216,F216,E216)</f>
        <v>1500</v>
      </c>
      <c r="P216" s="10">
        <f>VLOOKUP($O216,codetabel!$A$1:$B$12,2,FALSE)</f>
        <v>6</v>
      </c>
      <c r="Q216" s="11"/>
      <c r="R216" s="54">
        <f t="shared" si="8"/>
        <v>6</v>
      </c>
      <c r="Z216" s="5"/>
    </row>
    <row r="217" spans="1:26">
      <c r="A217" s="2" t="s">
        <v>419</v>
      </c>
      <c r="B217" s="16" t="s">
        <v>416</v>
      </c>
      <c r="C217" s="14" t="s">
        <v>20</v>
      </c>
      <c r="D217" s="6" t="s">
        <v>420</v>
      </c>
      <c r="G217" s="9"/>
      <c r="H217" s="10"/>
      <c r="I217" s="8"/>
      <c r="J217" s="9"/>
      <c r="K217" s="8"/>
      <c r="P217" s="10" t="e">
        <f>VLOOKUP($O217,codetabel!$A$1:$B$12,2,FALSE)</f>
        <v>#N/A</v>
      </c>
      <c r="Q217" s="11"/>
      <c r="R217" s="54" t="str">
        <f t="shared" si="8"/>
        <v/>
      </c>
      <c r="Z217" s="5"/>
    </row>
    <row r="218" spans="1:26">
      <c r="A218" s="2" t="s">
        <v>421</v>
      </c>
      <c r="B218" s="16" t="s">
        <v>296</v>
      </c>
      <c r="C218" s="14" t="s">
        <v>20</v>
      </c>
      <c r="D218" s="6" t="s">
        <v>422</v>
      </c>
      <c r="G218" s="9"/>
      <c r="H218" s="10"/>
      <c r="I218" s="8"/>
      <c r="J218" s="9"/>
      <c r="K218" s="8"/>
      <c r="P218" s="10" t="e">
        <f>VLOOKUP($O218,codetabel!$A$1:$B$12,2,FALSE)</f>
        <v>#N/A</v>
      </c>
      <c r="Q218" s="11"/>
      <c r="R218" s="54" t="str">
        <f t="shared" si="8"/>
        <v/>
      </c>
      <c r="Z218" s="5"/>
    </row>
    <row r="219" spans="1:26">
      <c r="A219" s="2" t="s">
        <v>421</v>
      </c>
      <c r="B219" s="16" t="s">
        <v>296</v>
      </c>
      <c r="C219" s="14" t="s">
        <v>22</v>
      </c>
      <c r="D219" s="6" t="s">
        <v>423</v>
      </c>
      <c r="E219" s="7">
        <v>30</v>
      </c>
      <c r="F219" s="3">
        <v>30</v>
      </c>
      <c r="G219" s="9">
        <v>300</v>
      </c>
      <c r="H219" s="10"/>
      <c r="I219" s="8"/>
      <c r="J219" s="9">
        <v>30</v>
      </c>
      <c r="K219" s="8"/>
      <c r="L219" s="3">
        <v>2</v>
      </c>
      <c r="M219" s="3" t="s">
        <v>26</v>
      </c>
      <c r="O219" s="9">
        <f>MAX(J219,G219,F219,E219)</f>
        <v>300</v>
      </c>
      <c r="P219" s="10" t="str">
        <f>VLOOKUP($O219,codetabel!$A$1:$B$12,2,FALSE)</f>
        <v>4.2</v>
      </c>
      <c r="Q219" s="11"/>
      <c r="R219" s="54" t="str">
        <f t="shared" si="8"/>
        <v>4.2</v>
      </c>
      <c r="Z219" s="5"/>
    </row>
    <row r="220" spans="1:26">
      <c r="A220" s="2" t="s">
        <v>424</v>
      </c>
      <c r="B220" s="16" t="s">
        <v>425</v>
      </c>
      <c r="C220" s="14" t="s">
        <v>281</v>
      </c>
      <c r="D220" s="6" t="s">
        <v>426</v>
      </c>
      <c r="G220" s="9"/>
      <c r="H220" s="10"/>
      <c r="I220" s="8"/>
      <c r="J220" s="9"/>
      <c r="K220" s="8"/>
      <c r="P220" s="10" t="e">
        <f>VLOOKUP($O220,codetabel!$A$1:$B$12,2,FALSE)</f>
        <v>#N/A</v>
      </c>
      <c r="Q220" s="11"/>
      <c r="R220" s="54" t="str">
        <f t="shared" si="8"/>
        <v/>
      </c>
      <c r="Z220" s="5"/>
    </row>
    <row r="221" spans="1:26">
      <c r="A221" s="2" t="s">
        <v>424</v>
      </c>
      <c r="B221" s="16" t="s">
        <v>425</v>
      </c>
      <c r="C221" s="14" t="s">
        <v>283</v>
      </c>
      <c r="D221" s="6" t="s">
        <v>303</v>
      </c>
      <c r="E221" s="7">
        <v>100</v>
      </c>
      <c r="F221" s="3">
        <v>100</v>
      </c>
      <c r="G221" s="9">
        <v>300</v>
      </c>
      <c r="H221" s="10"/>
      <c r="I221" s="8"/>
      <c r="J221" s="9">
        <v>30</v>
      </c>
      <c r="K221" s="8" t="s">
        <v>25</v>
      </c>
      <c r="L221" s="3">
        <v>1</v>
      </c>
      <c r="M221" s="3" t="s">
        <v>26</v>
      </c>
      <c r="O221" s="9">
        <f>MAX(J221,G221,F221,E221)</f>
        <v>300</v>
      </c>
      <c r="P221" s="10" t="str">
        <f>VLOOKUP($O221,codetabel!$A$1:$B$12,2,FALSE)</f>
        <v>4.2</v>
      </c>
      <c r="Q221" s="11"/>
      <c r="R221" s="54" t="str">
        <f t="shared" si="8"/>
        <v>4.2</v>
      </c>
      <c r="Z221" s="5"/>
    </row>
    <row r="222" spans="1:26">
      <c r="A222" s="2" t="s">
        <v>424</v>
      </c>
      <c r="B222" s="16" t="s">
        <v>425</v>
      </c>
      <c r="C222" s="14" t="s">
        <v>284</v>
      </c>
      <c r="D222" s="6" t="s">
        <v>427</v>
      </c>
      <c r="G222" s="9"/>
      <c r="H222" s="10"/>
      <c r="I222" s="8"/>
      <c r="J222" s="9"/>
      <c r="K222" s="8"/>
      <c r="P222" s="10" t="e">
        <f>VLOOKUP($O222,codetabel!$A$1:$B$12,2,FALSE)</f>
        <v>#N/A</v>
      </c>
      <c r="Q222" s="11"/>
      <c r="R222" s="54" t="str">
        <f t="shared" si="8"/>
        <v/>
      </c>
      <c r="Z222" s="5"/>
    </row>
    <row r="223" spans="1:26">
      <c r="A223" s="2" t="s">
        <v>428</v>
      </c>
      <c r="B223" s="16" t="s">
        <v>429</v>
      </c>
      <c r="C223" s="14" t="s">
        <v>20</v>
      </c>
      <c r="D223" s="6" t="s">
        <v>430</v>
      </c>
      <c r="G223" s="9"/>
      <c r="H223" s="10"/>
      <c r="I223" s="8"/>
      <c r="J223" s="9"/>
      <c r="K223" s="8"/>
      <c r="P223" s="10" t="e">
        <f>VLOOKUP($O223,codetabel!$A$1:$B$12,2,FALSE)</f>
        <v>#N/A</v>
      </c>
      <c r="Q223" s="11"/>
      <c r="R223" s="54" t="str">
        <f t="shared" si="8"/>
        <v/>
      </c>
      <c r="Z223" s="5"/>
    </row>
    <row r="224" spans="1:26">
      <c r="A224" s="2" t="s">
        <v>428</v>
      </c>
      <c r="B224" s="16" t="s">
        <v>429</v>
      </c>
      <c r="C224" s="14" t="s">
        <v>22</v>
      </c>
      <c r="D224" s="6" t="s">
        <v>431</v>
      </c>
      <c r="E224" s="7">
        <v>100</v>
      </c>
      <c r="F224" s="3">
        <v>50</v>
      </c>
      <c r="G224" s="9">
        <v>300</v>
      </c>
      <c r="H224" s="10" t="s">
        <v>24</v>
      </c>
      <c r="I224" s="8"/>
      <c r="J224" s="9">
        <v>30</v>
      </c>
      <c r="K224" s="8" t="s">
        <v>25</v>
      </c>
      <c r="L224" s="3">
        <v>1</v>
      </c>
      <c r="M224" s="3" t="s">
        <v>26</v>
      </c>
      <c r="O224" s="9">
        <f>MAX(J224,G224,F224,E224)</f>
        <v>300</v>
      </c>
      <c r="P224" s="10" t="str">
        <f>VLOOKUP($O224,codetabel!$A$1:$B$12,2,FALSE)</f>
        <v>4.2</v>
      </c>
      <c r="Q224" s="11"/>
      <c r="R224" s="54" t="str">
        <f t="shared" si="8"/>
        <v>4.2</v>
      </c>
      <c r="Z224" s="5"/>
    </row>
    <row r="225" spans="1:26">
      <c r="A225" s="2" t="s">
        <v>432</v>
      </c>
      <c r="B225" s="16" t="s">
        <v>433</v>
      </c>
      <c r="C225" s="14" t="s">
        <v>20</v>
      </c>
      <c r="D225" s="6" t="s">
        <v>434</v>
      </c>
      <c r="G225" s="9"/>
      <c r="H225" s="10"/>
      <c r="I225" s="8"/>
      <c r="J225" s="9"/>
      <c r="K225" s="8"/>
      <c r="P225" s="10" t="e">
        <f>VLOOKUP($O225,codetabel!$A$1:$B$12,2,FALSE)</f>
        <v>#N/A</v>
      </c>
      <c r="Q225" s="11"/>
      <c r="R225" s="54" t="str">
        <f t="shared" si="8"/>
        <v/>
      </c>
      <c r="Z225" s="5"/>
    </row>
    <row r="226" spans="1:26">
      <c r="A226" s="2" t="s">
        <v>432</v>
      </c>
      <c r="B226" s="16" t="s">
        <v>433</v>
      </c>
      <c r="C226" s="14" t="s">
        <v>22</v>
      </c>
      <c r="D226" s="6" t="s">
        <v>431</v>
      </c>
      <c r="E226" s="7">
        <v>100</v>
      </c>
      <c r="F226" s="3">
        <v>50</v>
      </c>
      <c r="G226" s="9">
        <v>300</v>
      </c>
      <c r="H226" s="10" t="s">
        <v>24</v>
      </c>
      <c r="I226" s="8"/>
      <c r="J226" s="9">
        <v>30</v>
      </c>
      <c r="K226" s="8" t="s">
        <v>25</v>
      </c>
      <c r="L226" s="3">
        <v>1</v>
      </c>
      <c r="M226" s="3" t="s">
        <v>26</v>
      </c>
      <c r="O226" s="9">
        <f>MAX(J226,G226,F226,E226)</f>
        <v>300</v>
      </c>
      <c r="P226" s="10" t="str">
        <f>VLOOKUP($O226,codetabel!$A$1:$B$12,2,FALSE)</f>
        <v>4.2</v>
      </c>
      <c r="Q226" s="11"/>
      <c r="R226" s="54" t="str">
        <f t="shared" si="8"/>
        <v>4.2</v>
      </c>
      <c r="Z226" s="5"/>
    </row>
    <row r="227" spans="1:26">
      <c r="A227" s="2" t="s">
        <v>435</v>
      </c>
      <c r="B227" s="16" t="s">
        <v>327</v>
      </c>
      <c r="C227" s="14" t="s">
        <v>16</v>
      </c>
      <c r="D227" s="6" t="s">
        <v>169</v>
      </c>
      <c r="G227" s="9"/>
      <c r="H227" s="10"/>
      <c r="I227" s="8"/>
      <c r="J227" s="9"/>
      <c r="K227" s="8"/>
      <c r="P227" s="10" t="e">
        <f>VLOOKUP($O227,codetabel!$A$1:$B$12,2,FALSE)</f>
        <v>#N/A</v>
      </c>
      <c r="Q227" s="11"/>
      <c r="R227" s="54" t="str">
        <f t="shared" si="8"/>
        <v/>
      </c>
      <c r="Z227" s="5"/>
    </row>
    <row r="228" spans="1:26" ht="22.5">
      <c r="A228" s="2" t="s">
        <v>435</v>
      </c>
      <c r="B228" s="16" t="s">
        <v>436</v>
      </c>
      <c r="C228" s="14" t="s">
        <v>16</v>
      </c>
      <c r="D228" s="6" t="s">
        <v>437</v>
      </c>
      <c r="G228" s="9"/>
      <c r="H228" s="10"/>
      <c r="I228" s="8"/>
      <c r="J228" s="9"/>
      <c r="K228" s="8"/>
      <c r="P228" s="10" t="e">
        <f>VLOOKUP($O228,codetabel!$A$1:$B$12,2,FALSE)</f>
        <v>#N/A</v>
      </c>
      <c r="Q228" s="11"/>
      <c r="R228" s="54" t="str">
        <f t="shared" ref="R228:R258" si="9">IF(ISNA(P228),"",P228)</f>
        <v/>
      </c>
    </row>
    <row r="229" spans="1:26">
      <c r="A229" s="2" t="s">
        <v>438</v>
      </c>
      <c r="B229" s="16" t="s">
        <v>439</v>
      </c>
      <c r="C229" s="14" t="s">
        <v>20</v>
      </c>
      <c r="D229" s="6" t="s">
        <v>440</v>
      </c>
      <c r="G229" s="9"/>
      <c r="H229" s="10"/>
      <c r="I229" s="8"/>
      <c r="J229" s="9"/>
      <c r="K229" s="8"/>
      <c r="P229" s="10" t="e">
        <f>VLOOKUP($O229,codetabel!$A$1:$B$12,2,FALSE)</f>
        <v>#N/A</v>
      </c>
      <c r="Q229" s="11"/>
      <c r="R229" s="54" t="str">
        <f t="shared" si="9"/>
        <v/>
      </c>
    </row>
    <row r="230" spans="1:26">
      <c r="A230" s="2" t="s">
        <v>438</v>
      </c>
      <c r="B230" s="16" t="s">
        <v>439</v>
      </c>
      <c r="C230" s="14" t="s">
        <v>22</v>
      </c>
      <c r="D230" s="6" t="s">
        <v>441</v>
      </c>
      <c r="E230" s="7">
        <v>30</v>
      </c>
      <c r="F230" s="3">
        <v>30</v>
      </c>
      <c r="G230" s="9">
        <v>100</v>
      </c>
      <c r="H230" s="10"/>
      <c r="I230" s="8"/>
      <c r="J230" s="9">
        <v>30</v>
      </c>
      <c r="K230" s="8"/>
      <c r="L230" s="3">
        <v>2</v>
      </c>
      <c r="M230" s="3" t="s">
        <v>26</v>
      </c>
      <c r="O230" s="9">
        <f>MAX(J230,G230,F230,E230)</f>
        <v>100</v>
      </c>
      <c r="P230" s="10" t="str">
        <f>VLOOKUP($O230,codetabel!$A$1:$B$12,2,FALSE)</f>
        <v>3.2</v>
      </c>
      <c r="Q230" s="11"/>
      <c r="R230" s="54" t="str">
        <f t="shared" si="9"/>
        <v>3.2</v>
      </c>
    </row>
    <row r="231" spans="1:26">
      <c r="A231" s="2" t="s">
        <v>438</v>
      </c>
      <c r="B231" s="16" t="s">
        <v>439</v>
      </c>
      <c r="C231" s="14" t="s">
        <v>442</v>
      </c>
      <c r="D231" s="6" t="s">
        <v>443</v>
      </c>
      <c r="E231" s="7">
        <v>30</v>
      </c>
      <c r="F231" s="3">
        <v>30</v>
      </c>
      <c r="G231" s="9">
        <v>50</v>
      </c>
      <c r="H231" s="10"/>
      <c r="I231" s="8"/>
      <c r="J231" s="9">
        <v>10</v>
      </c>
      <c r="K231" s="8"/>
      <c r="L231" s="3">
        <v>1</v>
      </c>
      <c r="M231" s="3" t="s">
        <v>26</v>
      </c>
      <c r="O231" s="9">
        <f>MAX(J231,G231,F231,E231)</f>
        <v>50</v>
      </c>
      <c r="P231" s="10" t="str">
        <f>VLOOKUP($O231,codetabel!$A$1:$B$12,2,FALSE)</f>
        <v>3.1</v>
      </c>
      <c r="Q231" s="11"/>
      <c r="R231" s="54" t="str">
        <f t="shared" si="9"/>
        <v>3.1</v>
      </c>
      <c r="X231" s="3" t="s">
        <v>226</v>
      </c>
    </row>
    <row r="232" spans="1:26">
      <c r="A232" s="2" t="s">
        <v>438</v>
      </c>
      <c r="B232" s="16" t="s">
        <v>439</v>
      </c>
      <c r="C232" s="14" t="s">
        <v>46</v>
      </c>
      <c r="D232" s="6" t="s">
        <v>444</v>
      </c>
      <c r="E232" s="7">
        <v>30</v>
      </c>
      <c r="F232" s="3">
        <v>50</v>
      </c>
      <c r="G232" s="9">
        <v>200</v>
      </c>
      <c r="H232" s="10"/>
      <c r="I232" s="8"/>
      <c r="J232" s="9">
        <v>30</v>
      </c>
      <c r="K232" s="8"/>
      <c r="L232" s="3">
        <v>2</v>
      </c>
      <c r="M232" s="3" t="s">
        <v>26</v>
      </c>
      <c r="O232" s="9">
        <f>MAX(J232,G232,F232,E232)</f>
        <v>200</v>
      </c>
      <c r="P232" s="10" t="str">
        <f>VLOOKUP($O232,codetabel!$A$1:$B$12,2,FALSE)</f>
        <v>4.1</v>
      </c>
      <c r="Q232" s="11"/>
      <c r="R232" s="54" t="str">
        <f t="shared" si="9"/>
        <v>4.1</v>
      </c>
      <c r="Z232" s="5"/>
    </row>
    <row r="233" spans="1:26">
      <c r="A233" s="2" t="s">
        <v>438</v>
      </c>
      <c r="B233" s="16" t="s">
        <v>439</v>
      </c>
      <c r="C233" s="14" t="s">
        <v>29</v>
      </c>
      <c r="D233" s="6" t="s">
        <v>445</v>
      </c>
      <c r="E233" s="7">
        <v>50</v>
      </c>
      <c r="F233" s="3">
        <v>200</v>
      </c>
      <c r="G233" s="9">
        <v>300</v>
      </c>
      <c r="H233" s="10"/>
      <c r="I233" s="8" t="s">
        <v>70</v>
      </c>
      <c r="J233" s="9">
        <v>30</v>
      </c>
      <c r="K233" s="8"/>
      <c r="L233" s="3">
        <v>3</v>
      </c>
      <c r="M233" s="3" t="s">
        <v>26</v>
      </c>
      <c r="O233" s="9">
        <f>MAX(J233,G233,F233,E233)</f>
        <v>300</v>
      </c>
      <c r="P233" s="10" t="str">
        <f>VLOOKUP($O233,codetabel!$A$1:$B$12,2,FALSE)</f>
        <v>4.2</v>
      </c>
      <c r="Q233" s="11"/>
      <c r="R233" s="54" t="str">
        <f t="shared" si="9"/>
        <v>4.2</v>
      </c>
      <c r="Z233" s="5"/>
    </row>
    <row r="234" spans="1:26">
      <c r="A234" s="2" t="s">
        <v>446</v>
      </c>
      <c r="B234" s="16" t="s">
        <v>447</v>
      </c>
      <c r="C234" s="14" t="s">
        <v>20</v>
      </c>
      <c r="D234" s="6" t="s">
        <v>448</v>
      </c>
      <c r="G234" s="9"/>
      <c r="H234" s="10"/>
      <c r="I234" s="8"/>
      <c r="J234" s="9"/>
      <c r="K234" s="8"/>
      <c r="P234" s="10" t="e">
        <f>VLOOKUP($O234,codetabel!$A$1:$B$12,2,FALSE)</f>
        <v>#N/A</v>
      </c>
      <c r="Q234" s="11"/>
      <c r="R234" s="54" t="str">
        <f t="shared" si="9"/>
        <v/>
      </c>
      <c r="Z234" s="5"/>
    </row>
    <row r="235" spans="1:26">
      <c r="A235" s="2" t="s">
        <v>446</v>
      </c>
      <c r="B235" s="16" t="s">
        <v>447</v>
      </c>
      <c r="C235" s="14" t="s">
        <v>22</v>
      </c>
      <c r="D235" s="6" t="s">
        <v>423</v>
      </c>
      <c r="E235" s="7">
        <v>30</v>
      </c>
      <c r="F235" s="3">
        <v>50</v>
      </c>
      <c r="G235" s="9">
        <v>300</v>
      </c>
      <c r="H235" s="10"/>
      <c r="I235" s="8"/>
      <c r="J235" s="9">
        <v>30</v>
      </c>
      <c r="K235" s="8" t="s">
        <v>25</v>
      </c>
      <c r="L235" s="3">
        <v>2</v>
      </c>
      <c r="M235" s="3" t="s">
        <v>26</v>
      </c>
      <c r="O235" s="9">
        <f>MAX(J235,G235,F235,E235)</f>
        <v>300</v>
      </c>
      <c r="P235" s="10" t="str">
        <f>VLOOKUP($O235,codetabel!$A$1:$B$12,2,FALSE)</f>
        <v>4.2</v>
      </c>
      <c r="Q235" s="11"/>
      <c r="R235" s="54" t="str">
        <f t="shared" si="9"/>
        <v>4.2</v>
      </c>
      <c r="Z235" s="5"/>
    </row>
    <row r="236" spans="1:26">
      <c r="A236" s="2" t="s">
        <v>449</v>
      </c>
      <c r="B236" s="16" t="s">
        <v>450</v>
      </c>
      <c r="D236" s="6" t="s">
        <v>451</v>
      </c>
      <c r="E236" s="7">
        <v>30</v>
      </c>
      <c r="F236" s="3">
        <v>30</v>
      </c>
      <c r="G236" s="9">
        <v>200</v>
      </c>
      <c r="H236" s="10"/>
      <c r="I236" s="8"/>
      <c r="J236" s="9">
        <v>30</v>
      </c>
      <c r="K236" s="8"/>
      <c r="L236" s="3">
        <v>2</v>
      </c>
      <c r="M236" s="3" t="s">
        <v>26</v>
      </c>
      <c r="O236" s="9">
        <f>MAX(J236,G236,F236,E236)</f>
        <v>200</v>
      </c>
      <c r="P236" s="10" t="str">
        <f>VLOOKUP($O236,codetabel!$A$1:$B$12,2,FALSE)</f>
        <v>4.1</v>
      </c>
      <c r="Q236" s="11"/>
      <c r="R236" s="54" t="str">
        <f t="shared" si="9"/>
        <v>4.1</v>
      </c>
      <c r="Z236" s="5"/>
    </row>
    <row r="237" spans="1:26">
      <c r="A237" s="2" t="s">
        <v>452</v>
      </c>
      <c r="B237" s="16" t="s">
        <v>453</v>
      </c>
      <c r="C237" s="14" t="s">
        <v>260</v>
      </c>
      <c r="D237" s="6" t="s">
        <v>454</v>
      </c>
      <c r="E237" s="7">
        <v>10</v>
      </c>
      <c r="F237" s="3">
        <v>30</v>
      </c>
      <c r="G237" s="9">
        <v>200</v>
      </c>
      <c r="H237" s="10"/>
      <c r="I237" s="8"/>
      <c r="J237" s="9">
        <v>30</v>
      </c>
      <c r="K237" s="8"/>
      <c r="L237" s="3">
        <v>1</v>
      </c>
      <c r="M237" s="3" t="s">
        <v>26</v>
      </c>
      <c r="O237" s="9">
        <f>MAX(J237,G237,F237,E237)</f>
        <v>200</v>
      </c>
      <c r="P237" s="10" t="str">
        <f>VLOOKUP($O237,codetabel!$A$1:$B$12,2,FALSE)</f>
        <v>4.1</v>
      </c>
      <c r="Q237" s="11"/>
      <c r="R237" s="54" t="str">
        <f t="shared" si="9"/>
        <v>4.1</v>
      </c>
      <c r="Z237" s="5"/>
    </row>
    <row r="238" spans="1:26">
      <c r="A238" s="2" t="s">
        <v>452</v>
      </c>
      <c r="B238" s="16" t="s">
        <v>453</v>
      </c>
      <c r="C238" s="14" t="s">
        <v>262</v>
      </c>
      <c r="D238" s="6" t="s">
        <v>455</v>
      </c>
      <c r="E238" s="7">
        <v>50</v>
      </c>
      <c r="F238" s="3">
        <v>30</v>
      </c>
      <c r="G238" s="9">
        <v>100</v>
      </c>
      <c r="H238" s="10"/>
      <c r="I238" s="8"/>
      <c r="J238" s="9">
        <v>30</v>
      </c>
      <c r="K238" s="8"/>
      <c r="L238" s="3">
        <v>2</v>
      </c>
      <c r="M238" s="3" t="s">
        <v>26</v>
      </c>
      <c r="O238" s="9">
        <f>MAX(J238,G238,F238,E238)</f>
        <v>100</v>
      </c>
      <c r="P238" s="10" t="str">
        <f>VLOOKUP($O238,codetabel!$A$1:$B$12,2,FALSE)</f>
        <v>3.2</v>
      </c>
      <c r="Q238" s="11" t="s">
        <v>27</v>
      </c>
      <c r="R238" s="54" t="str">
        <f t="shared" si="9"/>
        <v>3.2</v>
      </c>
    </row>
    <row r="239" spans="1:26">
      <c r="A239" s="2" t="s">
        <v>452</v>
      </c>
      <c r="B239" s="16" t="s">
        <v>453</v>
      </c>
      <c r="C239" s="14" t="s">
        <v>286</v>
      </c>
      <c r="D239" s="6" t="s">
        <v>456</v>
      </c>
      <c r="E239" s="7">
        <v>30</v>
      </c>
      <c r="F239" s="3">
        <v>30</v>
      </c>
      <c r="G239" s="9">
        <v>50</v>
      </c>
      <c r="H239" s="10"/>
      <c r="I239" s="8"/>
      <c r="J239" s="9">
        <v>10</v>
      </c>
      <c r="K239" s="8"/>
      <c r="L239" s="3">
        <v>1</v>
      </c>
      <c r="M239" s="3" t="s">
        <v>26</v>
      </c>
      <c r="O239" s="9">
        <f>MAX(J239,G239,F239,E239)</f>
        <v>50</v>
      </c>
      <c r="P239" s="10" t="str">
        <f>VLOOKUP($O239,codetabel!$A$1:$B$12,2,FALSE)</f>
        <v>3.1</v>
      </c>
      <c r="Q239" s="11" t="s">
        <v>27</v>
      </c>
      <c r="R239" s="54" t="str">
        <f t="shared" si="9"/>
        <v>3.1</v>
      </c>
      <c r="X239" s="3" t="s">
        <v>226</v>
      </c>
    </row>
    <row r="240" spans="1:26">
      <c r="A240" s="2" t="s">
        <v>457</v>
      </c>
      <c r="B240" s="16" t="s">
        <v>458</v>
      </c>
      <c r="C240" s="14" t="s">
        <v>20</v>
      </c>
      <c r="D240" s="6" t="s">
        <v>459</v>
      </c>
      <c r="G240" s="9"/>
      <c r="H240" s="10"/>
      <c r="I240" s="8"/>
      <c r="J240" s="9"/>
      <c r="K240" s="8"/>
      <c r="P240" s="10" t="e">
        <f>VLOOKUP($O240,codetabel!$A$1:$B$12,2,FALSE)</f>
        <v>#N/A</v>
      </c>
      <c r="Q240" s="11"/>
      <c r="R240" s="54" t="str">
        <f t="shared" si="9"/>
        <v/>
      </c>
    </row>
    <row r="241" spans="1:24">
      <c r="A241" s="2" t="s">
        <v>457</v>
      </c>
      <c r="B241" s="16" t="s">
        <v>458</v>
      </c>
      <c r="C241" s="14" t="s">
        <v>22</v>
      </c>
      <c r="D241" s="6" t="s">
        <v>460</v>
      </c>
      <c r="E241" s="7">
        <v>50</v>
      </c>
      <c r="F241" s="3">
        <v>50</v>
      </c>
      <c r="G241" s="9">
        <v>100</v>
      </c>
      <c r="H241" s="10"/>
      <c r="I241" s="8"/>
      <c r="J241" s="9">
        <v>50</v>
      </c>
      <c r="K241" s="8"/>
      <c r="L241" s="3">
        <v>2</v>
      </c>
      <c r="M241" s="3" t="s">
        <v>26</v>
      </c>
      <c r="O241" s="9">
        <f t="shared" ref="O241:O254" si="10">MAX(J241,G241,F241,E241)</f>
        <v>100</v>
      </c>
      <c r="P241" s="10" t="str">
        <f>VLOOKUP($O241,codetabel!$A$1:$B$12,2,FALSE)</f>
        <v>3.2</v>
      </c>
      <c r="Q241" s="11"/>
      <c r="R241" s="54" t="str">
        <f t="shared" si="9"/>
        <v>3.2</v>
      </c>
    </row>
    <row r="242" spans="1:24">
      <c r="A242" s="2" t="s">
        <v>457</v>
      </c>
      <c r="B242" s="16" t="s">
        <v>458</v>
      </c>
      <c r="C242" s="14" t="s">
        <v>461</v>
      </c>
      <c r="D242" s="6" t="s">
        <v>462</v>
      </c>
      <c r="E242" s="7">
        <v>30</v>
      </c>
      <c r="F242" s="3">
        <v>200</v>
      </c>
      <c r="G242" s="9">
        <v>200</v>
      </c>
      <c r="H242" s="10"/>
      <c r="I242" s="8"/>
      <c r="J242" s="9">
        <v>30</v>
      </c>
      <c r="K242" s="8"/>
      <c r="L242" s="3">
        <v>2</v>
      </c>
      <c r="M242" s="3" t="s">
        <v>26</v>
      </c>
      <c r="O242" s="9">
        <f t="shared" si="10"/>
        <v>200</v>
      </c>
      <c r="P242" s="10" t="str">
        <f>VLOOKUP($O242,codetabel!$A$1:$B$12,2,FALSE)</f>
        <v>4.1</v>
      </c>
      <c r="Q242" s="11" t="s">
        <v>27</v>
      </c>
      <c r="R242" s="54" t="str">
        <f t="shared" si="9"/>
        <v>4.1</v>
      </c>
    </row>
    <row r="243" spans="1:24">
      <c r="A243" s="2" t="s">
        <v>457</v>
      </c>
      <c r="B243" s="16" t="s">
        <v>458</v>
      </c>
      <c r="C243" s="14" t="s">
        <v>463</v>
      </c>
      <c r="D243" s="6" t="s">
        <v>464</v>
      </c>
      <c r="E243" s="7">
        <v>30</v>
      </c>
      <c r="F243" s="3">
        <v>50</v>
      </c>
      <c r="G243" s="9">
        <v>100</v>
      </c>
      <c r="H243" s="10"/>
      <c r="I243" s="8"/>
      <c r="J243" s="9">
        <v>50</v>
      </c>
      <c r="K243" s="8"/>
      <c r="L243" s="3">
        <v>1</v>
      </c>
      <c r="M243" s="3" t="s">
        <v>26</v>
      </c>
      <c r="O243" s="9">
        <f t="shared" si="10"/>
        <v>100</v>
      </c>
      <c r="P243" s="10" t="str">
        <f>VLOOKUP($O243,codetabel!$A$1:$B$12,2,FALSE)</f>
        <v>3.2</v>
      </c>
      <c r="Q243" s="11" t="s">
        <v>27</v>
      </c>
      <c r="R243" s="54" t="str">
        <f t="shared" si="9"/>
        <v>3.2</v>
      </c>
    </row>
    <row r="244" spans="1:24">
      <c r="A244" s="2" t="s">
        <v>457</v>
      </c>
      <c r="B244" s="16" t="s">
        <v>458</v>
      </c>
      <c r="C244" s="14" t="s">
        <v>162</v>
      </c>
      <c r="D244" s="6" t="s">
        <v>465</v>
      </c>
      <c r="E244" s="7">
        <v>100</v>
      </c>
      <c r="F244" s="3">
        <v>30</v>
      </c>
      <c r="G244" s="9">
        <v>100</v>
      </c>
      <c r="H244" s="10"/>
      <c r="I244" s="8"/>
      <c r="J244" s="9">
        <v>50</v>
      </c>
      <c r="K244" s="8" t="s">
        <v>25</v>
      </c>
      <c r="L244" s="3">
        <v>2</v>
      </c>
      <c r="M244" s="3" t="s">
        <v>26</v>
      </c>
      <c r="O244" s="9">
        <f t="shared" si="10"/>
        <v>100</v>
      </c>
      <c r="P244" s="10" t="str">
        <f>VLOOKUP($O244,codetabel!$A$1:$B$12,2,FALSE)</f>
        <v>3.2</v>
      </c>
      <c r="Q244" s="11" t="s">
        <v>27</v>
      </c>
      <c r="R244" s="54" t="str">
        <f t="shared" si="9"/>
        <v>3.2</v>
      </c>
    </row>
    <row r="245" spans="1:24">
      <c r="A245" s="2" t="s">
        <v>457</v>
      </c>
      <c r="B245" s="16" t="s">
        <v>458</v>
      </c>
      <c r="C245" s="14" t="s">
        <v>46</v>
      </c>
      <c r="D245" s="6" t="s">
        <v>466</v>
      </c>
      <c r="E245" s="7">
        <v>50</v>
      </c>
      <c r="F245" s="3">
        <v>50</v>
      </c>
      <c r="G245" s="9">
        <v>100</v>
      </c>
      <c r="H245" s="10"/>
      <c r="I245" s="8"/>
      <c r="J245" s="9">
        <v>30</v>
      </c>
      <c r="K245" s="8" t="s">
        <v>25</v>
      </c>
      <c r="L245" s="3">
        <v>2</v>
      </c>
      <c r="M245" s="3" t="s">
        <v>26</v>
      </c>
      <c r="O245" s="9">
        <f t="shared" si="10"/>
        <v>100</v>
      </c>
      <c r="P245" s="10" t="str">
        <f>VLOOKUP($O245,codetabel!$A$1:$B$12,2,FALSE)</f>
        <v>3.2</v>
      </c>
      <c r="Q245" s="11" t="s">
        <v>27</v>
      </c>
      <c r="R245" s="54" t="str">
        <f t="shared" si="9"/>
        <v>3.2</v>
      </c>
    </row>
    <row r="246" spans="1:24">
      <c r="A246" s="2" t="s">
        <v>457</v>
      </c>
      <c r="B246" s="16" t="s">
        <v>458</v>
      </c>
      <c r="C246" s="14" t="s">
        <v>29</v>
      </c>
      <c r="D246" s="6" t="s">
        <v>467</v>
      </c>
      <c r="E246" s="7">
        <v>100</v>
      </c>
      <c r="F246" s="3">
        <v>50</v>
      </c>
      <c r="G246" s="9">
        <v>100</v>
      </c>
      <c r="H246" s="10"/>
      <c r="I246" s="8"/>
      <c r="J246" s="9">
        <v>50</v>
      </c>
      <c r="K246" s="8"/>
      <c r="L246" s="3">
        <v>2</v>
      </c>
      <c r="M246" s="3" t="s">
        <v>26</v>
      </c>
      <c r="O246" s="9">
        <f t="shared" si="10"/>
        <v>100</v>
      </c>
      <c r="P246" s="10" t="str">
        <f>VLOOKUP($O246,codetabel!$A$1:$B$12,2,FALSE)</f>
        <v>3.2</v>
      </c>
      <c r="Q246" s="11"/>
      <c r="R246" s="54" t="str">
        <f t="shared" si="9"/>
        <v>3.2</v>
      </c>
    </row>
    <row r="247" spans="1:24">
      <c r="A247" s="2" t="s">
        <v>457</v>
      </c>
      <c r="B247" s="16" t="s">
        <v>458</v>
      </c>
      <c r="C247" s="14" t="s">
        <v>31</v>
      </c>
      <c r="D247" s="6" t="s">
        <v>468</v>
      </c>
      <c r="E247" s="7">
        <v>100</v>
      </c>
      <c r="F247" s="3">
        <v>50</v>
      </c>
      <c r="G247" s="9">
        <v>100</v>
      </c>
      <c r="H247" s="10"/>
      <c r="I247" s="8"/>
      <c r="J247" s="9">
        <v>50</v>
      </c>
      <c r="K247" s="8"/>
      <c r="L247" s="3">
        <v>2</v>
      </c>
      <c r="M247" s="3" t="s">
        <v>26</v>
      </c>
      <c r="O247" s="9">
        <f t="shared" si="10"/>
        <v>100</v>
      </c>
      <c r="P247" s="10" t="str">
        <f>VLOOKUP($O247,codetabel!$A$1:$B$12,2,FALSE)</f>
        <v>3.2</v>
      </c>
      <c r="Q247" s="11"/>
      <c r="R247" s="54" t="str">
        <f t="shared" si="9"/>
        <v>3.2</v>
      </c>
    </row>
    <row r="248" spans="1:24">
      <c r="A248" s="2" t="s">
        <v>457</v>
      </c>
      <c r="B248" s="16" t="s">
        <v>458</v>
      </c>
      <c r="C248" s="14" t="s">
        <v>33</v>
      </c>
      <c r="D248" s="6" t="s">
        <v>469</v>
      </c>
      <c r="E248" s="7">
        <v>30</v>
      </c>
      <c r="F248" s="3">
        <v>50</v>
      </c>
      <c r="G248" s="9">
        <v>100</v>
      </c>
      <c r="H248" s="10"/>
      <c r="I248" s="8"/>
      <c r="J248" s="9">
        <v>30</v>
      </c>
      <c r="K248" s="8"/>
      <c r="L248" s="3">
        <v>2</v>
      </c>
      <c r="M248" s="3" t="s">
        <v>26</v>
      </c>
      <c r="O248" s="9">
        <f t="shared" si="10"/>
        <v>100</v>
      </c>
      <c r="P248" s="10" t="str">
        <f>VLOOKUP($O248,codetabel!$A$1:$B$12,2,FALSE)</f>
        <v>3.2</v>
      </c>
      <c r="Q248" s="11"/>
      <c r="R248" s="54" t="str">
        <f t="shared" si="9"/>
        <v>3.2</v>
      </c>
    </row>
    <row r="249" spans="1:24">
      <c r="A249" s="2" t="s">
        <v>457</v>
      </c>
      <c r="B249" s="16" t="s">
        <v>470</v>
      </c>
      <c r="C249" s="14" t="s">
        <v>36</v>
      </c>
      <c r="D249" s="6" t="s">
        <v>471</v>
      </c>
      <c r="E249" s="7">
        <v>50</v>
      </c>
      <c r="F249" s="3">
        <v>10</v>
      </c>
      <c r="G249" s="9">
        <v>100</v>
      </c>
      <c r="H249" s="10"/>
      <c r="I249" s="8"/>
      <c r="J249" s="9">
        <v>30</v>
      </c>
      <c r="K249" s="8"/>
      <c r="L249" s="3">
        <v>2</v>
      </c>
      <c r="M249" s="3" t="s">
        <v>26</v>
      </c>
      <c r="O249" s="9">
        <f t="shared" si="10"/>
        <v>100</v>
      </c>
      <c r="P249" s="10" t="str">
        <f>VLOOKUP($O249,codetabel!$A$1:$B$12,2,FALSE)</f>
        <v>3.2</v>
      </c>
      <c r="Q249" s="11"/>
      <c r="R249" s="54" t="str">
        <f t="shared" si="9"/>
        <v>3.2</v>
      </c>
    </row>
    <row r="250" spans="1:24">
      <c r="A250" s="2" t="s">
        <v>457</v>
      </c>
      <c r="B250" s="16" t="s">
        <v>458</v>
      </c>
      <c r="C250" s="14" t="s">
        <v>38</v>
      </c>
      <c r="D250" s="6" t="s">
        <v>472</v>
      </c>
      <c r="E250" s="7">
        <v>50</v>
      </c>
      <c r="F250" s="3">
        <v>10</v>
      </c>
      <c r="G250" s="9">
        <v>100</v>
      </c>
      <c r="H250" s="10"/>
      <c r="I250" s="8"/>
      <c r="J250" s="9">
        <v>30</v>
      </c>
      <c r="K250" s="8"/>
      <c r="L250" s="3">
        <v>2</v>
      </c>
      <c r="M250" s="3" t="s">
        <v>26</v>
      </c>
      <c r="O250" s="9">
        <f t="shared" si="10"/>
        <v>100</v>
      </c>
      <c r="P250" s="10" t="str">
        <f>VLOOKUP($O250,codetabel!$A$1:$B$12,2,FALSE)</f>
        <v>3.2</v>
      </c>
      <c r="Q250" s="11"/>
      <c r="R250" s="54" t="str">
        <f t="shared" si="9"/>
        <v>3.2</v>
      </c>
    </row>
    <row r="251" spans="1:24">
      <c r="A251" s="2" t="s">
        <v>457</v>
      </c>
      <c r="B251" s="16" t="s">
        <v>458</v>
      </c>
      <c r="C251" s="14" t="s">
        <v>41</v>
      </c>
      <c r="D251" s="6" t="s">
        <v>473</v>
      </c>
      <c r="E251" s="7">
        <v>100</v>
      </c>
      <c r="F251" s="3">
        <v>50</v>
      </c>
      <c r="G251" s="9">
        <v>100</v>
      </c>
      <c r="H251" s="10"/>
      <c r="I251" s="8"/>
      <c r="J251" s="9">
        <v>50</v>
      </c>
      <c r="K251" s="8" t="s">
        <v>25</v>
      </c>
      <c r="L251" s="3">
        <v>1</v>
      </c>
      <c r="M251" s="3" t="s">
        <v>26</v>
      </c>
      <c r="O251" s="9">
        <f t="shared" si="10"/>
        <v>100</v>
      </c>
      <c r="P251" s="10" t="str">
        <f>VLOOKUP($O251,codetabel!$A$1:$B$12,2,FALSE)</f>
        <v>3.2</v>
      </c>
      <c r="Q251" s="11"/>
      <c r="R251" s="54" t="str">
        <f t="shared" si="9"/>
        <v>3.2</v>
      </c>
    </row>
    <row r="252" spans="1:24">
      <c r="A252" s="2" t="s">
        <v>457</v>
      </c>
      <c r="B252" s="16" t="s">
        <v>458</v>
      </c>
      <c r="C252" s="14" t="s">
        <v>474</v>
      </c>
      <c r="D252" s="6" t="s">
        <v>475</v>
      </c>
      <c r="E252" s="7">
        <v>30</v>
      </c>
      <c r="F252" s="3">
        <v>30</v>
      </c>
      <c r="G252" s="9">
        <v>100</v>
      </c>
      <c r="H252" s="10"/>
      <c r="I252" s="8"/>
      <c r="J252" s="9">
        <v>50</v>
      </c>
      <c r="K252" s="8"/>
      <c r="L252" s="3">
        <v>2</v>
      </c>
      <c r="M252" s="3" t="s">
        <v>26</v>
      </c>
      <c r="O252" s="9">
        <f t="shared" si="10"/>
        <v>100</v>
      </c>
      <c r="P252" s="10" t="str">
        <f>VLOOKUP($O252,codetabel!$A$1:$B$12,2,FALSE)</f>
        <v>3.2</v>
      </c>
      <c r="Q252" s="11"/>
      <c r="R252" s="54" t="str">
        <f t="shared" si="9"/>
        <v>3.2</v>
      </c>
    </row>
    <row r="253" spans="1:24">
      <c r="A253" s="2" t="s">
        <v>476</v>
      </c>
      <c r="B253" s="16" t="s">
        <v>477</v>
      </c>
      <c r="C253" s="13">
        <v>1</v>
      </c>
      <c r="D253" s="6" t="s">
        <v>478</v>
      </c>
      <c r="E253" s="7">
        <v>10</v>
      </c>
      <c r="F253" s="3">
        <v>30</v>
      </c>
      <c r="G253" s="9">
        <v>100</v>
      </c>
      <c r="H253" s="10"/>
      <c r="I253" s="8"/>
      <c r="J253" s="9">
        <v>30</v>
      </c>
      <c r="K253" s="8"/>
      <c r="L253" s="3">
        <v>1</v>
      </c>
      <c r="M253" s="3" t="s">
        <v>26</v>
      </c>
      <c r="O253" s="9">
        <f t="shared" si="10"/>
        <v>100</v>
      </c>
      <c r="P253" s="10" t="str">
        <f>VLOOKUP($O253,codetabel!$A$1:$B$12,2,FALSE)</f>
        <v>3.2</v>
      </c>
      <c r="Q253" s="11" t="s">
        <v>27</v>
      </c>
      <c r="R253" s="54" t="str">
        <f t="shared" si="9"/>
        <v>3.2</v>
      </c>
    </row>
    <row r="254" spans="1:24">
      <c r="A254" s="2" t="s">
        <v>476</v>
      </c>
      <c r="B254" s="16" t="s">
        <v>477</v>
      </c>
      <c r="C254" s="13">
        <v>2</v>
      </c>
      <c r="D254" s="6" t="s">
        <v>479</v>
      </c>
      <c r="E254" s="7">
        <v>10</v>
      </c>
      <c r="F254" s="3">
        <v>30</v>
      </c>
      <c r="G254" s="9">
        <v>50</v>
      </c>
      <c r="H254" s="10"/>
      <c r="I254" s="8"/>
      <c r="J254" s="9">
        <v>10</v>
      </c>
      <c r="K254" s="8"/>
      <c r="L254" s="3">
        <v>1</v>
      </c>
      <c r="M254" s="3" t="s">
        <v>26</v>
      </c>
      <c r="O254" s="9">
        <f t="shared" si="10"/>
        <v>50</v>
      </c>
      <c r="P254" s="10" t="str">
        <f>VLOOKUP($O254,codetabel!$A$1:$B$12,2,FALSE)</f>
        <v>3.1</v>
      </c>
      <c r="Q254" s="11" t="s">
        <v>27</v>
      </c>
      <c r="R254" s="54" t="str">
        <f t="shared" si="9"/>
        <v>3.1</v>
      </c>
      <c r="X254" s="3" t="s">
        <v>226</v>
      </c>
    </row>
    <row r="255" spans="1:24">
      <c r="A255" s="2" t="s">
        <v>480</v>
      </c>
      <c r="B255" s="16" t="s">
        <v>481</v>
      </c>
      <c r="C255" s="14" t="s">
        <v>281</v>
      </c>
      <c r="D255" s="6" t="s">
        <v>482</v>
      </c>
      <c r="G255" s="9"/>
      <c r="H255" s="10"/>
      <c r="I255" s="8"/>
      <c r="J255" s="9"/>
      <c r="K255" s="8"/>
      <c r="P255" s="10" t="e">
        <f>VLOOKUP($O255,codetabel!$A$1:$B$12,2,FALSE)</f>
        <v>#N/A</v>
      </c>
      <c r="Q255" s="11"/>
      <c r="R255" s="54" t="str">
        <f t="shared" si="9"/>
        <v/>
      </c>
    </row>
    <row r="256" spans="1:24">
      <c r="A256" s="2" t="s">
        <v>480</v>
      </c>
      <c r="B256" s="16" t="s">
        <v>481</v>
      </c>
      <c r="C256" s="14" t="s">
        <v>283</v>
      </c>
      <c r="D256" s="6" t="s">
        <v>423</v>
      </c>
      <c r="E256" s="7">
        <v>30</v>
      </c>
      <c r="F256" s="3">
        <v>50</v>
      </c>
      <c r="G256" s="9">
        <v>200</v>
      </c>
      <c r="H256" s="10"/>
      <c r="I256" s="8"/>
      <c r="J256" s="9">
        <v>30</v>
      </c>
      <c r="K256" s="8"/>
      <c r="L256" s="3">
        <v>2</v>
      </c>
      <c r="M256" s="3" t="s">
        <v>26</v>
      </c>
      <c r="O256" s="9">
        <f>MAX(J256,G256,F256,E256)</f>
        <v>200</v>
      </c>
      <c r="P256" s="10" t="str">
        <f>VLOOKUP($O256,codetabel!$A$1:$B$12,2,FALSE)</f>
        <v>4.1</v>
      </c>
      <c r="Q256" s="11"/>
      <c r="R256" s="54" t="str">
        <f t="shared" si="9"/>
        <v>4.1</v>
      </c>
    </row>
    <row r="257" spans="1:24">
      <c r="A257" s="2" t="s">
        <v>480</v>
      </c>
      <c r="B257" s="16" t="s">
        <v>481</v>
      </c>
      <c r="C257" s="14" t="s">
        <v>262</v>
      </c>
      <c r="D257" s="6" t="s">
        <v>483</v>
      </c>
      <c r="E257" s="7">
        <v>30</v>
      </c>
      <c r="F257" s="3">
        <v>30</v>
      </c>
      <c r="G257" s="9">
        <v>100</v>
      </c>
      <c r="H257" s="10"/>
      <c r="I257" s="8"/>
      <c r="J257" s="9">
        <v>30</v>
      </c>
      <c r="K257" s="8"/>
      <c r="L257" s="3">
        <v>2</v>
      </c>
      <c r="M257" s="3" t="s">
        <v>26</v>
      </c>
      <c r="O257" s="9">
        <f>MAX(J257,G257,F257,E257)</f>
        <v>100</v>
      </c>
      <c r="P257" s="10" t="str">
        <f>VLOOKUP($O257,codetabel!$A$1:$B$12,2,FALSE)</f>
        <v>3.2</v>
      </c>
      <c r="Q257" s="11"/>
      <c r="R257" s="54" t="str">
        <f t="shared" si="9"/>
        <v>3.2</v>
      </c>
    </row>
    <row r="258" spans="1:24">
      <c r="A258" s="2" t="s">
        <v>480</v>
      </c>
      <c r="B258" s="16" t="s">
        <v>481</v>
      </c>
      <c r="C258" s="14" t="s">
        <v>262</v>
      </c>
      <c r="D258" s="6" t="s">
        <v>484</v>
      </c>
      <c r="E258" s="7">
        <v>30</v>
      </c>
      <c r="F258" s="3">
        <v>30</v>
      </c>
      <c r="G258" s="9">
        <v>50</v>
      </c>
      <c r="H258" s="10"/>
      <c r="I258" s="8"/>
      <c r="J258" s="9">
        <v>10</v>
      </c>
      <c r="K258" s="8"/>
      <c r="L258" s="3">
        <v>1</v>
      </c>
      <c r="M258" s="3" t="s">
        <v>26</v>
      </c>
      <c r="O258" s="9">
        <f>MAX(J258,G258,F258,E258)</f>
        <v>50</v>
      </c>
      <c r="P258" s="10" t="str">
        <f>VLOOKUP($O258,codetabel!$A$1:$B$12,2,FALSE)</f>
        <v>3.1</v>
      </c>
      <c r="Q258" s="11"/>
      <c r="R258" s="54" t="str">
        <f t="shared" si="9"/>
        <v>3.1</v>
      </c>
      <c r="X258" s="3" t="s">
        <v>226</v>
      </c>
    </row>
    <row r="259" spans="1:24">
      <c r="A259" s="2" t="s">
        <v>485</v>
      </c>
      <c r="B259" s="16" t="s">
        <v>486</v>
      </c>
      <c r="C259" s="14"/>
      <c r="D259" s="6"/>
      <c r="G259" s="9"/>
      <c r="H259" s="10"/>
      <c r="I259" s="8"/>
      <c r="J259" s="9"/>
      <c r="K259" s="8"/>
      <c r="Q259" s="11"/>
      <c r="R259" s="54"/>
    </row>
    <row r="260" spans="1:24">
      <c r="A260" s="2" t="s">
        <v>485</v>
      </c>
      <c r="B260" s="16" t="s">
        <v>486</v>
      </c>
      <c r="C260" s="14" t="s">
        <v>16</v>
      </c>
      <c r="D260" s="6" t="s">
        <v>487</v>
      </c>
      <c r="G260" s="9"/>
      <c r="H260" s="10"/>
      <c r="I260" s="8"/>
      <c r="J260" s="9"/>
      <c r="K260" s="8"/>
      <c r="P260" s="10" t="e">
        <f>VLOOKUP($O260,codetabel!$A$1:$B$12,2,FALSE)</f>
        <v>#N/A</v>
      </c>
      <c r="Q260" s="11"/>
      <c r="R260" s="54" t="str">
        <f>IF(ISNA(P260),"",P260)</f>
        <v/>
      </c>
    </row>
    <row r="261" spans="1:24">
      <c r="A261" s="2" t="s">
        <v>485</v>
      </c>
      <c r="B261" s="16" t="s">
        <v>486</v>
      </c>
      <c r="C261" s="14" t="s">
        <v>20</v>
      </c>
      <c r="D261" s="6" t="s">
        <v>488</v>
      </c>
      <c r="G261" s="9"/>
      <c r="H261" s="10"/>
      <c r="I261" s="8"/>
      <c r="J261" s="9"/>
      <c r="K261" s="8"/>
      <c r="P261" s="10" t="e">
        <f>VLOOKUP($O261,codetabel!$A$1:$B$12,2,FALSE)</f>
        <v>#N/A</v>
      </c>
      <c r="Q261" s="11"/>
      <c r="R261" s="54" t="str">
        <f t="shared" ref="R261:R292" si="11">IF(ISNA(P261),"",P261)</f>
        <v/>
      </c>
    </row>
    <row r="262" spans="1:24">
      <c r="A262" s="2" t="s">
        <v>485</v>
      </c>
      <c r="B262" s="16" t="s">
        <v>486</v>
      </c>
      <c r="C262" s="14" t="s">
        <v>22</v>
      </c>
      <c r="D262" s="6" t="s">
        <v>423</v>
      </c>
      <c r="E262" s="7">
        <v>30</v>
      </c>
      <c r="F262" s="3">
        <v>30</v>
      </c>
      <c r="G262" s="9">
        <v>100</v>
      </c>
      <c r="H262" s="10"/>
      <c r="I262" s="8"/>
      <c r="J262" s="9">
        <v>30</v>
      </c>
      <c r="K262" s="8"/>
      <c r="L262" s="3">
        <v>2</v>
      </c>
      <c r="M262" s="3" t="s">
        <v>26</v>
      </c>
      <c r="O262" s="9">
        <f>MAX(J262,G262,F262,E262)</f>
        <v>100</v>
      </c>
      <c r="P262" s="10" t="str">
        <f>VLOOKUP($O262,codetabel!$A$1:$B$12,2,FALSE)</f>
        <v>3.2</v>
      </c>
      <c r="Q262" s="11" t="s">
        <v>27</v>
      </c>
      <c r="R262" s="54" t="str">
        <f t="shared" si="11"/>
        <v>3.2</v>
      </c>
    </row>
    <row r="263" spans="1:24">
      <c r="A263" s="2" t="s">
        <v>485</v>
      </c>
      <c r="B263" s="16" t="s">
        <v>486</v>
      </c>
      <c r="C263" s="14" t="s">
        <v>46</v>
      </c>
      <c r="D263" s="6" t="s">
        <v>489</v>
      </c>
      <c r="E263" s="7">
        <v>50</v>
      </c>
      <c r="F263" s="3">
        <v>30</v>
      </c>
      <c r="G263" s="9">
        <v>200</v>
      </c>
      <c r="H263" s="10"/>
      <c r="I263" s="8"/>
      <c r="J263" s="9">
        <v>30</v>
      </c>
      <c r="K263" s="8"/>
      <c r="L263" s="3">
        <v>3</v>
      </c>
      <c r="M263" s="3" t="s">
        <v>26</v>
      </c>
      <c r="O263" s="9">
        <f>MAX(J263,G263,F263,E263)</f>
        <v>200</v>
      </c>
      <c r="P263" s="10" t="str">
        <f>VLOOKUP($O263,codetabel!$A$1:$B$12,2,FALSE)</f>
        <v>4.1</v>
      </c>
      <c r="Q263" s="11" t="s">
        <v>27</v>
      </c>
      <c r="R263" s="54" t="str">
        <f t="shared" si="11"/>
        <v>4.1</v>
      </c>
    </row>
    <row r="264" spans="1:24">
      <c r="A264" s="2" t="s">
        <v>485</v>
      </c>
      <c r="B264" s="16" t="s">
        <v>490</v>
      </c>
      <c r="C264" s="14" t="s">
        <v>29</v>
      </c>
      <c r="D264" s="6" t="s">
        <v>491</v>
      </c>
      <c r="E264" s="7">
        <v>50</v>
      </c>
      <c r="F264" s="3">
        <v>30</v>
      </c>
      <c r="G264" s="9">
        <v>300</v>
      </c>
      <c r="H264" s="10"/>
      <c r="I264" s="8" t="s">
        <v>70</v>
      </c>
      <c r="J264" s="9">
        <v>30</v>
      </c>
      <c r="K264" s="8"/>
      <c r="L264" s="3">
        <v>3</v>
      </c>
      <c r="M264" s="3" t="s">
        <v>26</v>
      </c>
      <c r="O264" s="9">
        <f>MAX(J264,G264,F264,E264)</f>
        <v>300</v>
      </c>
      <c r="P264" s="10" t="str">
        <f>VLOOKUP($O264,codetabel!$A$1:$B$12,2,FALSE)</f>
        <v>4.2</v>
      </c>
      <c r="Q264" s="11" t="s">
        <v>27</v>
      </c>
      <c r="R264" s="54" t="str">
        <f t="shared" si="11"/>
        <v>4.2</v>
      </c>
    </row>
    <row r="265" spans="1:24">
      <c r="A265" s="2" t="s">
        <v>492</v>
      </c>
      <c r="B265" s="16" t="s">
        <v>493</v>
      </c>
      <c r="C265" s="14" t="s">
        <v>16</v>
      </c>
      <c r="D265" s="6" t="s">
        <v>494</v>
      </c>
      <c r="G265" s="9"/>
      <c r="H265" s="10"/>
      <c r="I265" s="8"/>
      <c r="J265" s="9"/>
      <c r="K265" s="8"/>
      <c r="P265" s="10" t="e">
        <f>VLOOKUP($O265,codetabel!$A$1:$B$12,2,FALSE)</f>
        <v>#N/A</v>
      </c>
      <c r="Q265" s="11"/>
      <c r="R265" s="54" t="str">
        <f t="shared" si="11"/>
        <v/>
      </c>
    </row>
    <row r="266" spans="1:24">
      <c r="A266" s="2" t="s">
        <v>492</v>
      </c>
      <c r="B266" s="16" t="s">
        <v>493</v>
      </c>
      <c r="C266" s="14" t="s">
        <v>16</v>
      </c>
      <c r="D266" s="6"/>
      <c r="G266" s="9"/>
      <c r="H266" s="10"/>
      <c r="I266" s="8"/>
      <c r="J266" s="9"/>
      <c r="K266" s="8"/>
      <c r="P266" s="10" t="e">
        <f>VLOOKUP($O266,codetabel!$A$1:$B$12,2,FALSE)</f>
        <v>#N/A</v>
      </c>
      <c r="Q266" s="11"/>
      <c r="R266" s="54" t="str">
        <f t="shared" si="11"/>
        <v/>
      </c>
    </row>
    <row r="267" spans="1:24">
      <c r="A267" s="2" t="s">
        <v>492</v>
      </c>
      <c r="B267" s="16" t="s">
        <v>493</v>
      </c>
      <c r="C267" s="14" t="s">
        <v>260</v>
      </c>
      <c r="D267" s="6" t="s">
        <v>495</v>
      </c>
      <c r="E267" s="7">
        <v>30</v>
      </c>
      <c r="F267" s="3">
        <v>10</v>
      </c>
      <c r="G267" s="9">
        <v>30</v>
      </c>
      <c r="H267" s="10"/>
      <c r="I267" s="8"/>
      <c r="J267" s="9">
        <v>10</v>
      </c>
      <c r="K267" s="8"/>
      <c r="L267" s="3">
        <v>1</v>
      </c>
      <c r="M267" s="3" t="s">
        <v>26</v>
      </c>
      <c r="O267" s="9">
        <f>MAX(J267,G267,F267,E267)</f>
        <v>30</v>
      </c>
      <c r="P267" s="10">
        <f>VLOOKUP($O267,codetabel!$A$1:$B$12,2,FALSE)</f>
        <v>2</v>
      </c>
      <c r="Q267" s="11"/>
      <c r="R267" s="54">
        <f t="shared" si="11"/>
        <v>2</v>
      </c>
    </row>
    <row r="268" spans="1:24">
      <c r="A268" s="2" t="s">
        <v>496</v>
      </c>
      <c r="B268" s="16" t="s">
        <v>497</v>
      </c>
      <c r="C268" s="14" t="s">
        <v>16</v>
      </c>
      <c r="D268" s="6" t="s">
        <v>169</v>
      </c>
      <c r="G268" s="9"/>
      <c r="H268" s="10"/>
      <c r="I268" s="8"/>
      <c r="J268" s="9"/>
      <c r="K268" s="8"/>
      <c r="P268" s="10" t="e">
        <f>VLOOKUP($O268,codetabel!$A$1:$B$12,2,FALSE)</f>
        <v>#N/A</v>
      </c>
      <c r="Q268" s="11"/>
      <c r="R268" s="54" t="str">
        <f t="shared" si="11"/>
        <v/>
      </c>
    </row>
    <row r="269" spans="1:24">
      <c r="A269" s="2" t="s">
        <v>496</v>
      </c>
      <c r="B269" s="16" t="s">
        <v>497</v>
      </c>
      <c r="C269" s="14" t="s">
        <v>16</v>
      </c>
      <c r="D269" s="6" t="s">
        <v>498</v>
      </c>
      <c r="G269" s="9"/>
      <c r="H269" s="10"/>
      <c r="I269" s="8"/>
      <c r="J269" s="9"/>
      <c r="K269" s="8"/>
      <c r="P269" s="10" t="e">
        <f>VLOOKUP($O269,codetabel!$A$1:$B$12,2,FALSE)</f>
        <v>#N/A</v>
      </c>
      <c r="Q269" s="11"/>
      <c r="R269" s="54" t="str">
        <f t="shared" si="11"/>
        <v/>
      </c>
    </row>
    <row r="270" spans="1:24">
      <c r="A270" s="2" t="s">
        <v>499</v>
      </c>
      <c r="B270" s="16" t="s">
        <v>500</v>
      </c>
      <c r="D270" s="6" t="s">
        <v>501</v>
      </c>
      <c r="E270" s="7">
        <v>200</v>
      </c>
      <c r="F270" s="3">
        <v>30</v>
      </c>
      <c r="G270" s="9">
        <v>30</v>
      </c>
      <c r="H270" s="10"/>
      <c r="I270" s="8"/>
      <c r="J270" s="9">
        <v>50</v>
      </c>
      <c r="K270" s="8"/>
      <c r="L270" s="3">
        <v>1</v>
      </c>
      <c r="M270" s="3" t="s">
        <v>26</v>
      </c>
      <c r="O270" s="9">
        <f t="shared" ref="O270:O275" si="12">MAX(J270,G270,F270,E270)</f>
        <v>200</v>
      </c>
      <c r="P270" s="10" t="str">
        <f>VLOOKUP($O270,codetabel!$A$1:$B$12,2,FALSE)</f>
        <v>4.1</v>
      </c>
      <c r="Q270" s="11"/>
      <c r="R270" s="54" t="str">
        <f t="shared" si="11"/>
        <v>4.1</v>
      </c>
    </row>
    <row r="271" spans="1:24">
      <c r="A271" s="2" t="s">
        <v>502</v>
      </c>
      <c r="B271" s="16" t="s">
        <v>503</v>
      </c>
      <c r="D271" s="6" t="s">
        <v>504</v>
      </c>
      <c r="E271" s="7">
        <v>200</v>
      </c>
      <c r="F271" s="3">
        <v>10</v>
      </c>
      <c r="G271" s="9">
        <v>30</v>
      </c>
      <c r="H271" s="10"/>
      <c r="I271" s="8"/>
      <c r="J271" s="9">
        <v>50</v>
      </c>
      <c r="K271" s="8"/>
      <c r="L271" s="3">
        <v>1</v>
      </c>
      <c r="M271" s="3" t="s">
        <v>26</v>
      </c>
      <c r="O271" s="9">
        <f t="shared" si="12"/>
        <v>200</v>
      </c>
      <c r="P271" s="10" t="str">
        <f>VLOOKUP($O271,codetabel!$A$1:$B$12,2,FALSE)</f>
        <v>4.1</v>
      </c>
      <c r="Q271" s="11"/>
      <c r="R271" s="54" t="str">
        <f t="shared" si="11"/>
        <v>4.1</v>
      </c>
    </row>
    <row r="272" spans="1:24">
      <c r="A272" s="2" t="s">
        <v>505</v>
      </c>
      <c r="B272" s="16" t="s">
        <v>421</v>
      </c>
      <c r="D272" s="6" t="s">
        <v>506</v>
      </c>
      <c r="E272" s="7">
        <v>100</v>
      </c>
      <c r="F272" s="3">
        <v>10</v>
      </c>
      <c r="G272" s="9">
        <v>200</v>
      </c>
      <c r="H272" s="10"/>
      <c r="I272" s="8"/>
      <c r="J272" s="9">
        <v>100</v>
      </c>
      <c r="K272" s="8" t="s">
        <v>25</v>
      </c>
      <c r="L272" s="3">
        <v>2</v>
      </c>
      <c r="M272" s="3" t="s">
        <v>26</v>
      </c>
      <c r="O272" s="9">
        <f t="shared" si="12"/>
        <v>200</v>
      </c>
      <c r="P272" s="10" t="str">
        <f>VLOOKUP($O272,codetabel!$A$1:$B$12,2,FALSE)</f>
        <v>4.1</v>
      </c>
      <c r="Q272" s="11" t="s">
        <v>27</v>
      </c>
      <c r="R272" s="54" t="str">
        <f t="shared" si="11"/>
        <v>4.1</v>
      </c>
    </row>
    <row r="273" spans="1:18">
      <c r="A273" s="2" t="s">
        <v>507</v>
      </c>
      <c r="B273" s="16" t="s">
        <v>419</v>
      </c>
      <c r="D273" s="6" t="s">
        <v>508</v>
      </c>
      <c r="E273" s="7">
        <v>100</v>
      </c>
      <c r="F273" s="3">
        <v>30</v>
      </c>
      <c r="G273" s="9">
        <v>100</v>
      </c>
      <c r="H273" s="10"/>
      <c r="I273" s="8"/>
      <c r="J273" s="9">
        <v>50</v>
      </c>
      <c r="K273" s="8"/>
      <c r="L273" s="3">
        <v>2</v>
      </c>
      <c r="M273" s="3" t="s">
        <v>26</v>
      </c>
      <c r="O273" s="9">
        <f t="shared" si="12"/>
        <v>100</v>
      </c>
      <c r="P273" s="10" t="str">
        <f>VLOOKUP($O273,codetabel!$A$1:$B$12,2,FALSE)</f>
        <v>3.2</v>
      </c>
      <c r="Q273" s="11"/>
      <c r="R273" s="54" t="str">
        <f t="shared" si="11"/>
        <v>3.2</v>
      </c>
    </row>
    <row r="274" spans="1:18">
      <c r="A274" s="2" t="s">
        <v>509</v>
      </c>
      <c r="B274" s="16" t="s">
        <v>424</v>
      </c>
      <c r="D274" s="6" t="s">
        <v>510</v>
      </c>
      <c r="E274" s="7">
        <v>200</v>
      </c>
      <c r="F274" s="3">
        <v>30</v>
      </c>
      <c r="G274" s="9">
        <v>30</v>
      </c>
      <c r="H274" s="10"/>
      <c r="I274" s="8"/>
      <c r="J274" s="9">
        <v>300</v>
      </c>
      <c r="K274" s="8" t="s">
        <v>25</v>
      </c>
      <c r="L274" s="3">
        <v>2</v>
      </c>
      <c r="M274" s="3" t="s">
        <v>26</v>
      </c>
      <c r="O274" s="9">
        <f t="shared" si="12"/>
        <v>300</v>
      </c>
      <c r="P274" s="10" t="str">
        <f>VLOOKUP($O274,codetabel!$A$1:$B$12,2,FALSE)</f>
        <v>4.2</v>
      </c>
      <c r="Q274" s="11"/>
      <c r="R274" s="54" t="str">
        <f t="shared" si="11"/>
        <v>4.2</v>
      </c>
    </row>
    <row r="275" spans="1:18">
      <c r="A275" s="2" t="s">
        <v>511</v>
      </c>
      <c r="B275" s="16" t="s">
        <v>512</v>
      </c>
      <c r="D275" s="6" t="s">
        <v>513</v>
      </c>
      <c r="E275" s="7">
        <v>1500</v>
      </c>
      <c r="F275" s="3">
        <v>300</v>
      </c>
      <c r="G275" s="9">
        <v>1000</v>
      </c>
      <c r="H275" s="10" t="s">
        <v>24</v>
      </c>
      <c r="I275" s="8" t="s">
        <v>70</v>
      </c>
      <c r="J275" s="9">
        <v>200</v>
      </c>
      <c r="K275" s="8" t="s">
        <v>25</v>
      </c>
      <c r="L275" s="3">
        <v>2</v>
      </c>
      <c r="M275" s="3" t="s">
        <v>26</v>
      </c>
      <c r="O275" s="9">
        <f t="shared" si="12"/>
        <v>1500</v>
      </c>
      <c r="P275" s="10">
        <f>VLOOKUP($O275,codetabel!$A$1:$B$12,2,FALSE)</f>
        <v>6</v>
      </c>
      <c r="Q275" s="11"/>
      <c r="R275" s="54">
        <f t="shared" si="11"/>
        <v>6</v>
      </c>
    </row>
    <row r="276" spans="1:18">
      <c r="A276" s="2" t="s">
        <v>514</v>
      </c>
      <c r="B276" s="16" t="s">
        <v>515</v>
      </c>
      <c r="C276" s="14" t="s">
        <v>16</v>
      </c>
      <c r="D276" s="6" t="s">
        <v>169</v>
      </c>
      <c r="G276" s="9"/>
      <c r="H276" s="10"/>
      <c r="I276" s="8"/>
      <c r="J276" s="9"/>
      <c r="K276" s="8"/>
      <c r="P276" s="10" t="e">
        <f>VLOOKUP($O276,codetabel!$A$1:$B$12,2,FALSE)</f>
        <v>#N/A</v>
      </c>
      <c r="Q276" s="11"/>
      <c r="R276" s="54" t="str">
        <f t="shared" si="11"/>
        <v/>
      </c>
    </row>
    <row r="277" spans="1:18">
      <c r="A277" s="2" t="s">
        <v>514</v>
      </c>
      <c r="B277" s="16" t="s">
        <v>516</v>
      </c>
      <c r="C277" s="14" t="s">
        <v>16</v>
      </c>
      <c r="D277" s="6" t="s">
        <v>517</v>
      </c>
      <c r="G277" s="9"/>
      <c r="H277" s="10"/>
      <c r="I277" s="8"/>
      <c r="J277" s="9"/>
      <c r="K277" s="8"/>
      <c r="P277" s="10" t="e">
        <f>VLOOKUP($O277,codetabel!$A$1:$B$12,2,FALSE)</f>
        <v>#N/A</v>
      </c>
      <c r="Q277" s="11"/>
      <c r="R277" s="54" t="str">
        <f t="shared" si="11"/>
        <v/>
      </c>
    </row>
    <row r="278" spans="1:18">
      <c r="A278" s="2" t="s">
        <v>518</v>
      </c>
      <c r="B278" s="72" t="s">
        <v>519</v>
      </c>
      <c r="D278" s="6" t="s">
        <v>520</v>
      </c>
      <c r="E278" s="7">
        <v>30</v>
      </c>
      <c r="F278" s="3">
        <v>0</v>
      </c>
      <c r="G278" s="9">
        <v>50</v>
      </c>
      <c r="H278" s="10"/>
      <c r="I278" s="8"/>
      <c r="J278" s="9">
        <v>30</v>
      </c>
      <c r="K278" s="8"/>
      <c r="L278" s="3">
        <v>2</v>
      </c>
      <c r="M278" s="3" t="s">
        <v>26</v>
      </c>
      <c r="O278" s="9">
        <f>MAX(J278,G278,F278,E278)</f>
        <v>50</v>
      </c>
      <c r="P278" s="10" t="str">
        <f>VLOOKUP($O278,codetabel!$A$1:$B$12,2,FALSE)</f>
        <v>3.1</v>
      </c>
      <c r="Q278" s="11" t="s">
        <v>27</v>
      </c>
      <c r="R278" s="54" t="str">
        <f t="shared" si="11"/>
        <v>3.1</v>
      </c>
    </row>
    <row r="279" spans="1:18">
      <c r="A279" s="2" t="s">
        <v>521</v>
      </c>
      <c r="B279" s="16" t="s">
        <v>522</v>
      </c>
      <c r="D279" s="6" t="s">
        <v>523</v>
      </c>
      <c r="E279" s="7">
        <v>50</v>
      </c>
      <c r="F279" s="3">
        <v>10</v>
      </c>
      <c r="G279" s="9">
        <v>50</v>
      </c>
      <c r="H279" s="10"/>
      <c r="I279" s="8"/>
      <c r="J279" s="9">
        <v>30</v>
      </c>
      <c r="K279" s="8"/>
      <c r="L279" s="3">
        <v>1</v>
      </c>
      <c r="M279" s="3" t="s">
        <v>26</v>
      </c>
      <c r="O279" s="9">
        <f>MAX(J279,G279,F279,E279)</f>
        <v>50</v>
      </c>
      <c r="P279" s="10" t="str">
        <f>VLOOKUP($O279,codetabel!$A$1:$B$12,2,FALSE)</f>
        <v>3.1</v>
      </c>
      <c r="Q279" s="11"/>
      <c r="R279" s="54" t="str">
        <f t="shared" si="11"/>
        <v>3.1</v>
      </c>
    </row>
    <row r="280" spans="1:18">
      <c r="A280" s="2" t="s">
        <v>524</v>
      </c>
      <c r="B280" s="16" t="s">
        <v>525</v>
      </c>
      <c r="C280" s="14" t="s">
        <v>16</v>
      </c>
      <c r="D280" s="6" t="s">
        <v>169</v>
      </c>
      <c r="G280" s="9"/>
      <c r="H280" s="10"/>
      <c r="I280" s="8"/>
      <c r="J280" s="9"/>
      <c r="K280" s="8"/>
      <c r="P280" s="10" t="e">
        <f>VLOOKUP($O280,codetabel!$A$1:$B$12,2,FALSE)</f>
        <v>#N/A</v>
      </c>
      <c r="Q280" s="11"/>
      <c r="R280" s="54" t="str">
        <f t="shared" si="11"/>
        <v/>
      </c>
    </row>
    <row r="281" spans="1:18">
      <c r="A281" s="2" t="s">
        <v>524</v>
      </c>
      <c r="B281" s="16" t="s">
        <v>525</v>
      </c>
      <c r="C281" s="14" t="s">
        <v>16</v>
      </c>
      <c r="D281" s="6" t="s">
        <v>526</v>
      </c>
      <c r="G281" s="9"/>
      <c r="H281" s="10"/>
      <c r="I281" s="8"/>
      <c r="J281" s="9"/>
      <c r="K281" s="8"/>
      <c r="P281" s="10" t="e">
        <f>VLOOKUP($O281,codetabel!$A$1:$B$12,2,FALSE)</f>
        <v>#N/A</v>
      </c>
      <c r="Q281" s="11"/>
      <c r="R281" s="54" t="str">
        <f t="shared" si="11"/>
        <v/>
      </c>
    </row>
    <row r="282" spans="1:18">
      <c r="A282" s="2" t="s">
        <v>524</v>
      </c>
      <c r="B282" s="16" t="s">
        <v>525</v>
      </c>
      <c r="C282" s="14" t="s">
        <v>260</v>
      </c>
      <c r="D282" s="6" t="s">
        <v>527</v>
      </c>
      <c r="E282" s="7">
        <v>30</v>
      </c>
      <c r="F282" s="3">
        <v>0</v>
      </c>
      <c r="G282" s="9">
        <v>30</v>
      </c>
      <c r="H282" s="10"/>
      <c r="I282" s="8"/>
      <c r="J282" s="9">
        <v>0</v>
      </c>
      <c r="K282" s="8"/>
      <c r="L282" s="3">
        <v>1</v>
      </c>
      <c r="M282" s="3" t="s">
        <v>26</v>
      </c>
      <c r="O282" s="9">
        <f>MAX(J282,G282,F282,E282)</f>
        <v>30</v>
      </c>
      <c r="P282" s="10">
        <f>VLOOKUP($O282,codetabel!$A$1:$B$12,2,FALSE)</f>
        <v>2</v>
      </c>
      <c r="Q282" s="11"/>
      <c r="R282" s="54">
        <f t="shared" si="11"/>
        <v>2</v>
      </c>
    </row>
    <row r="283" spans="1:18">
      <c r="A283" s="2" t="s">
        <v>528</v>
      </c>
      <c r="B283" s="16" t="s">
        <v>485</v>
      </c>
      <c r="C283" s="14" t="s">
        <v>16</v>
      </c>
      <c r="D283" s="6" t="s">
        <v>169</v>
      </c>
      <c r="G283" s="9"/>
      <c r="H283" s="10"/>
      <c r="I283" s="8"/>
      <c r="J283" s="9"/>
      <c r="K283" s="8"/>
      <c r="P283" s="10" t="e">
        <f>VLOOKUP($O283,codetabel!$A$1:$B$12,2,FALSE)</f>
        <v>#N/A</v>
      </c>
      <c r="Q283" s="11"/>
      <c r="R283" s="54" t="str">
        <f t="shared" si="11"/>
        <v/>
      </c>
    </row>
    <row r="284" spans="1:18">
      <c r="A284" s="2" t="s">
        <v>528</v>
      </c>
      <c r="B284" s="16" t="s">
        <v>485</v>
      </c>
      <c r="C284" s="14"/>
      <c r="D284" s="6" t="s">
        <v>529</v>
      </c>
      <c r="G284" s="9"/>
      <c r="H284" s="10"/>
      <c r="I284" s="8"/>
      <c r="J284" s="9"/>
      <c r="K284" s="8"/>
      <c r="P284" s="10" t="e">
        <f>VLOOKUP($O284,codetabel!$A$1:$B$12,2,FALSE)</f>
        <v>#N/A</v>
      </c>
      <c r="Q284" s="11"/>
      <c r="R284" s="54" t="str">
        <f t="shared" si="11"/>
        <v/>
      </c>
    </row>
    <row r="285" spans="1:18">
      <c r="A285" s="2" t="s">
        <v>530</v>
      </c>
      <c r="B285" s="16" t="s">
        <v>531</v>
      </c>
      <c r="C285" s="14" t="s">
        <v>20</v>
      </c>
      <c r="D285" s="6" t="s">
        <v>532</v>
      </c>
      <c r="G285" s="9"/>
      <c r="H285" s="10"/>
      <c r="I285" s="8"/>
      <c r="J285" s="9"/>
      <c r="K285" s="8"/>
      <c r="P285" s="10" t="e">
        <f>VLOOKUP($O285,codetabel!$A$1:$B$12,2,FALSE)</f>
        <v>#N/A</v>
      </c>
      <c r="Q285" s="11"/>
      <c r="R285" s="54" t="str">
        <f t="shared" si="11"/>
        <v/>
      </c>
    </row>
    <row r="286" spans="1:18">
      <c r="A286" s="2" t="s">
        <v>530</v>
      </c>
      <c r="B286" s="16" t="s">
        <v>531</v>
      </c>
      <c r="C286" s="14" t="s">
        <v>22</v>
      </c>
      <c r="D286" s="6" t="s">
        <v>533</v>
      </c>
      <c r="E286" s="7">
        <v>100</v>
      </c>
      <c r="F286" s="3">
        <v>10</v>
      </c>
      <c r="G286" s="9">
        <v>200</v>
      </c>
      <c r="H286" s="10" t="s">
        <v>24</v>
      </c>
      <c r="I286" s="8"/>
      <c r="J286" s="9">
        <v>30</v>
      </c>
      <c r="K286" s="8" t="s">
        <v>25</v>
      </c>
      <c r="L286" s="3">
        <v>3</v>
      </c>
      <c r="M286" s="3" t="s">
        <v>26</v>
      </c>
      <c r="O286" s="9">
        <f>MAX(J286,G286,F286,E286)</f>
        <v>200</v>
      </c>
      <c r="P286" s="10" t="str">
        <f>VLOOKUP($O286,codetabel!$A$1:$B$12,2,FALSE)</f>
        <v>4.1</v>
      </c>
      <c r="Q286" s="11" t="s">
        <v>27</v>
      </c>
      <c r="R286" s="54" t="str">
        <f t="shared" si="11"/>
        <v>4.1</v>
      </c>
    </row>
    <row r="287" spans="1:18">
      <c r="A287" s="2" t="s">
        <v>530</v>
      </c>
      <c r="B287" s="16" t="s">
        <v>531</v>
      </c>
      <c r="C287" s="14" t="s">
        <v>46</v>
      </c>
      <c r="D287" s="6" t="s">
        <v>534</v>
      </c>
      <c r="E287" s="7">
        <v>200</v>
      </c>
      <c r="F287" s="3">
        <v>30</v>
      </c>
      <c r="G287" s="9">
        <v>300</v>
      </c>
      <c r="H287" s="10"/>
      <c r="I287" s="8" t="s">
        <v>70</v>
      </c>
      <c r="J287" s="9">
        <v>50</v>
      </c>
      <c r="K287" s="8" t="s">
        <v>25</v>
      </c>
      <c r="L287" s="3">
        <v>3</v>
      </c>
      <c r="M287" s="3" t="s">
        <v>26</v>
      </c>
      <c r="O287" s="9">
        <f>MAX(J287,G287,F287,E287)</f>
        <v>300</v>
      </c>
      <c r="P287" s="10" t="str">
        <f>VLOOKUP($O287,codetabel!$A$1:$B$12,2,FALSE)</f>
        <v>4.2</v>
      </c>
      <c r="Q287" s="11"/>
      <c r="R287" s="54" t="str">
        <f t="shared" si="11"/>
        <v>4.2</v>
      </c>
    </row>
    <row r="288" spans="1:18">
      <c r="A288" s="2" t="s">
        <v>535</v>
      </c>
      <c r="B288" s="16" t="s">
        <v>536</v>
      </c>
      <c r="D288" s="6" t="s">
        <v>537</v>
      </c>
      <c r="E288" s="7">
        <v>100</v>
      </c>
      <c r="F288" s="3">
        <v>10</v>
      </c>
      <c r="G288" s="9">
        <v>200</v>
      </c>
      <c r="H288" s="10"/>
      <c r="I288" s="8"/>
      <c r="J288" s="9">
        <v>30</v>
      </c>
      <c r="K288" s="8" t="s">
        <v>25</v>
      </c>
      <c r="L288" s="3">
        <v>2</v>
      </c>
      <c r="M288" s="3" t="s">
        <v>26</v>
      </c>
      <c r="O288" s="9">
        <f>MAX(J288,G288,F288,E288)</f>
        <v>200</v>
      </c>
      <c r="P288" s="10" t="str">
        <f>VLOOKUP($O288,codetabel!$A$1:$B$12,2,FALSE)</f>
        <v>4.1</v>
      </c>
      <c r="Q288" s="11"/>
      <c r="R288" s="54" t="str">
        <f t="shared" si="11"/>
        <v>4.1</v>
      </c>
    </row>
    <row r="289" spans="1:18">
      <c r="A289" s="2" t="s">
        <v>538</v>
      </c>
      <c r="B289" s="16" t="s">
        <v>539</v>
      </c>
      <c r="D289" s="6" t="s">
        <v>540</v>
      </c>
      <c r="E289" s="7">
        <v>30</v>
      </c>
      <c r="F289" s="3">
        <v>10</v>
      </c>
      <c r="G289" s="9">
        <v>200</v>
      </c>
      <c r="H289" s="10"/>
      <c r="I289" s="8"/>
      <c r="J289" s="9">
        <v>30</v>
      </c>
      <c r="K289" s="8"/>
      <c r="L289" s="3">
        <v>2</v>
      </c>
      <c r="M289" s="3" t="s">
        <v>26</v>
      </c>
      <c r="O289" s="9">
        <f>MAX(J289,G289,F289,E289)</f>
        <v>200</v>
      </c>
      <c r="P289" s="10" t="str">
        <f>VLOOKUP($O289,codetabel!$A$1:$B$12,2,FALSE)</f>
        <v>4.1</v>
      </c>
      <c r="Q289" s="11"/>
      <c r="R289" s="54" t="str">
        <f t="shared" si="11"/>
        <v>4.1</v>
      </c>
    </row>
    <row r="290" spans="1:18">
      <c r="A290" s="2" t="s">
        <v>541</v>
      </c>
      <c r="B290" s="16" t="s">
        <v>542</v>
      </c>
      <c r="D290" s="6" t="s">
        <v>543</v>
      </c>
      <c r="E290" s="7">
        <v>30</v>
      </c>
      <c r="F290" s="3">
        <v>10</v>
      </c>
      <c r="G290" s="9">
        <v>100</v>
      </c>
      <c r="H290" s="10"/>
      <c r="I290" s="8"/>
      <c r="J290" s="9">
        <v>30</v>
      </c>
      <c r="K290" s="8" t="s">
        <v>25</v>
      </c>
      <c r="L290" s="3">
        <v>2</v>
      </c>
      <c r="M290" s="3" t="s">
        <v>26</v>
      </c>
      <c r="O290" s="9">
        <f>MAX(J290,G290,F290,E290)</f>
        <v>100</v>
      </c>
      <c r="P290" s="10" t="str">
        <f>VLOOKUP($O290,codetabel!$A$1:$B$12,2,FALSE)</f>
        <v>3.2</v>
      </c>
      <c r="Q290" s="11"/>
      <c r="R290" s="54" t="str">
        <f t="shared" si="11"/>
        <v>3.2</v>
      </c>
    </row>
    <row r="291" spans="1:18">
      <c r="A291" s="2" t="s">
        <v>544</v>
      </c>
      <c r="B291" s="16" t="s">
        <v>492</v>
      </c>
      <c r="C291" s="14" t="s">
        <v>16</v>
      </c>
      <c r="D291" s="6" t="s">
        <v>169</v>
      </c>
      <c r="G291" s="9"/>
      <c r="H291" s="10"/>
      <c r="I291" s="8"/>
      <c r="J291" s="9"/>
      <c r="K291" s="8"/>
      <c r="P291" s="10" t="e">
        <f>VLOOKUP($O291,codetabel!$A$1:$B$12,2,FALSE)</f>
        <v>#N/A</v>
      </c>
      <c r="Q291" s="11"/>
      <c r="R291" s="54" t="str">
        <f t="shared" si="11"/>
        <v/>
      </c>
    </row>
    <row r="292" spans="1:18" ht="22.5">
      <c r="A292" s="2" t="s">
        <v>544</v>
      </c>
      <c r="B292" s="16" t="s">
        <v>492</v>
      </c>
      <c r="C292" s="14" t="s">
        <v>16</v>
      </c>
      <c r="D292" s="6" t="s">
        <v>545</v>
      </c>
      <c r="G292" s="9"/>
      <c r="H292" s="10"/>
      <c r="I292" s="8"/>
      <c r="J292" s="9"/>
      <c r="K292" s="8"/>
      <c r="P292" s="10" t="e">
        <f>VLOOKUP($O292,codetabel!$A$1:$B$12,2,FALSE)</f>
        <v>#N/A</v>
      </c>
      <c r="Q292" s="11"/>
      <c r="R292" s="54" t="str">
        <f t="shared" si="11"/>
        <v/>
      </c>
    </row>
    <row r="293" spans="1:18">
      <c r="A293" s="2" t="s">
        <v>546</v>
      </c>
      <c r="B293" s="16" t="s">
        <v>547</v>
      </c>
      <c r="C293" s="14" t="s">
        <v>20</v>
      </c>
      <c r="D293" s="6" t="s">
        <v>548</v>
      </c>
      <c r="G293" s="9"/>
      <c r="H293" s="10"/>
      <c r="I293" s="8"/>
      <c r="J293" s="9"/>
      <c r="K293" s="8"/>
      <c r="P293" s="10" t="e">
        <f>VLOOKUP($O293,codetabel!$A$1:$B$12,2,FALSE)</f>
        <v>#N/A</v>
      </c>
      <c r="Q293" s="11"/>
      <c r="R293" s="54" t="str">
        <f t="shared" ref="R293:R306" si="13">IF(ISNA(P293),"",P293)</f>
        <v/>
      </c>
    </row>
    <row r="294" spans="1:18">
      <c r="A294" s="2" t="s">
        <v>546</v>
      </c>
      <c r="B294" s="16" t="s">
        <v>547</v>
      </c>
      <c r="C294" s="14" t="s">
        <v>22</v>
      </c>
      <c r="D294" s="6" t="s">
        <v>549</v>
      </c>
      <c r="E294" s="7">
        <v>30</v>
      </c>
      <c r="F294" s="3">
        <v>30</v>
      </c>
      <c r="G294" s="9">
        <v>50</v>
      </c>
      <c r="H294" s="10"/>
      <c r="I294" s="8"/>
      <c r="J294" s="9">
        <v>10</v>
      </c>
      <c r="K294" s="8"/>
      <c r="L294" s="3">
        <v>2</v>
      </c>
      <c r="M294" s="3" t="s">
        <v>26</v>
      </c>
      <c r="O294" s="9">
        <f>MAX(J294,G294,F294,E294)</f>
        <v>50</v>
      </c>
      <c r="P294" s="10" t="str">
        <f>VLOOKUP($O294,codetabel!$A$1:$B$12,2,FALSE)</f>
        <v>3.1</v>
      </c>
      <c r="Q294" s="11"/>
      <c r="R294" s="54" t="str">
        <f t="shared" si="13"/>
        <v>3.1</v>
      </c>
    </row>
    <row r="295" spans="1:18">
      <c r="A295" s="2" t="s">
        <v>546</v>
      </c>
      <c r="B295" s="16" t="s">
        <v>547</v>
      </c>
      <c r="C295" s="14" t="s">
        <v>46</v>
      </c>
      <c r="D295" s="6" t="s">
        <v>550</v>
      </c>
      <c r="E295" s="7">
        <v>100</v>
      </c>
      <c r="F295" s="3">
        <v>50</v>
      </c>
      <c r="G295" s="9">
        <v>100</v>
      </c>
      <c r="H295" s="10"/>
      <c r="I295" s="8"/>
      <c r="J295" s="9">
        <v>50</v>
      </c>
      <c r="K295" s="8" t="s">
        <v>25</v>
      </c>
      <c r="L295" s="3">
        <v>2</v>
      </c>
      <c r="M295" s="3" t="s">
        <v>26</v>
      </c>
      <c r="O295" s="9">
        <f>MAX(J295,G295,F295,E295)</f>
        <v>100</v>
      </c>
      <c r="P295" s="10" t="str">
        <f>VLOOKUP($O295,codetabel!$A$1:$B$12,2,FALSE)</f>
        <v>3.2</v>
      </c>
      <c r="Q295" s="11"/>
      <c r="R295" s="54" t="str">
        <f t="shared" si="13"/>
        <v>3.2</v>
      </c>
    </row>
    <row r="296" spans="1:18">
      <c r="A296" s="2" t="s">
        <v>546</v>
      </c>
      <c r="B296" s="16" t="s">
        <v>547</v>
      </c>
      <c r="C296" s="14" t="s">
        <v>29</v>
      </c>
      <c r="D296" s="6" t="s">
        <v>551</v>
      </c>
      <c r="E296" s="7">
        <v>50</v>
      </c>
      <c r="F296" s="3">
        <v>100</v>
      </c>
      <c r="G296" s="9">
        <v>200</v>
      </c>
      <c r="H296" s="10"/>
      <c r="I296" s="8"/>
      <c r="J296" s="9">
        <v>30</v>
      </c>
      <c r="K296" s="8"/>
      <c r="L296" s="3">
        <v>2</v>
      </c>
      <c r="M296" s="3" t="s">
        <v>26</v>
      </c>
      <c r="O296" s="9">
        <f>MAX(J296,G296,F296,E296)</f>
        <v>200</v>
      </c>
      <c r="P296" s="10" t="str">
        <f>VLOOKUP($O296,codetabel!$A$1:$B$12,2,FALSE)</f>
        <v>4.1</v>
      </c>
      <c r="Q296" s="11"/>
      <c r="R296" s="54" t="str">
        <f t="shared" si="13"/>
        <v>4.1</v>
      </c>
    </row>
    <row r="297" spans="1:18">
      <c r="A297" s="2" t="s">
        <v>552</v>
      </c>
      <c r="B297" s="16" t="s">
        <v>553</v>
      </c>
      <c r="C297" s="14" t="s">
        <v>20</v>
      </c>
      <c r="D297" s="6" t="s">
        <v>554</v>
      </c>
      <c r="G297" s="9"/>
      <c r="H297" s="10"/>
      <c r="I297" s="8"/>
      <c r="J297" s="9"/>
      <c r="K297" s="8"/>
      <c r="P297" s="10" t="e">
        <f>VLOOKUP($O297,codetabel!$A$1:$B$12,2,FALSE)</f>
        <v>#N/A</v>
      </c>
      <c r="Q297" s="11"/>
      <c r="R297" s="54" t="str">
        <f t="shared" si="13"/>
        <v/>
      </c>
    </row>
    <row r="298" spans="1:18">
      <c r="A298" s="2" t="s">
        <v>552</v>
      </c>
      <c r="B298" s="16" t="s">
        <v>553</v>
      </c>
      <c r="C298" s="14" t="s">
        <v>22</v>
      </c>
      <c r="D298" s="6" t="s">
        <v>460</v>
      </c>
      <c r="E298" s="7">
        <v>50</v>
      </c>
      <c r="F298" s="3">
        <v>30</v>
      </c>
      <c r="G298" s="9">
        <v>100</v>
      </c>
      <c r="H298" s="10"/>
      <c r="I298" s="8"/>
      <c r="J298" s="9">
        <v>30</v>
      </c>
      <c r="K298" s="8"/>
      <c r="L298" s="3">
        <v>2</v>
      </c>
      <c r="M298" s="3" t="s">
        <v>26</v>
      </c>
      <c r="O298" s="9">
        <f>MAX(J298,G298,F298,E298)</f>
        <v>100</v>
      </c>
      <c r="P298" s="10" t="str">
        <f>VLOOKUP($O298,codetabel!$A$1:$B$12,2,FALSE)</f>
        <v>3.2</v>
      </c>
      <c r="Q298" s="11"/>
      <c r="R298" s="54" t="str">
        <f t="shared" si="13"/>
        <v>3.2</v>
      </c>
    </row>
    <row r="299" spans="1:18">
      <c r="A299" s="2" t="s">
        <v>552</v>
      </c>
      <c r="B299" s="16" t="s">
        <v>553</v>
      </c>
      <c r="C299" s="14" t="s">
        <v>46</v>
      </c>
      <c r="D299" s="6" t="s">
        <v>555</v>
      </c>
      <c r="E299" s="7">
        <v>50</v>
      </c>
      <c r="F299" s="3">
        <v>30</v>
      </c>
      <c r="G299" s="9">
        <v>300</v>
      </c>
      <c r="H299" s="10"/>
      <c r="I299" s="8" t="s">
        <v>70</v>
      </c>
      <c r="J299" s="9">
        <v>30</v>
      </c>
      <c r="K299" s="8" t="s">
        <v>25</v>
      </c>
      <c r="L299" s="3">
        <v>2</v>
      </c>
      <c r="M299" s="3" t="s">
        <v>26</v>
      </c>
      <c r="O299" s="9">
        <f>MAX(J299,G299,F299,E299)</f>
        <v>300</v>
      </c>
      <c r="P299" s="10" t="str">
        <f>VLOOKUP($O299,codetabel!$A$1:$B$12,2,FALSE)</f>
        <v>4.2</v>
      </c>
      <c r="Q299" s="11"/>
      <c r="R299" s="54" t="str">
        <f t="shared" si="13"/>
        <v>4.2</v>
      </c>
    </row>
    <row r="300" spans="1:18">
      <c r="A300" s="2" t="s">
        <v>556</v>
      </c>
      <c r="B300" s="16" t="s">
        <v>557</v>
      </c>
      <c r="C300" s="14" t="s">
        <v>20</v>
      </c>
      <c r="D300" s="6" t="s">
        <v>558</v>
      </c>
      <c r="G300" s="9"/>
      <c r="H300" s="10"/>
      <c r="I300" s="8"/>
      <c r="J300" s="9"/>
      <c r="K300" s="8"/>
      <c r="P300" s="10" t="e">
        <f>VLOOKUP($O300,codetabel!$A$1:$B$12,2,FALSE)</f>
        <v>#N/A</v>
      </c>
      <c r="Q300" s="11"/>
      <c r="R300" s="54" t="str">
        <f t="shared" si="13"/>
        <v/>
      </c>
    </row>
    <row r="301" spans="1:18">
      <c r="A301" s="2" t="s">
        <v>556</v>
      </c>
      <c r="B301" s="16" t="s">
        <v>559</v>
      </c>
      <c r="C301" s="14" t="s">
        <v>22</v>
      </c>
      <c r="D301" s="6" t="s">
        <v>560</v>
      </c>
      <c r="E301" s="7">
        <v>50</v>
      </c>
      <c r="F301" s="3">
        <v>30</v>
      </c>
      <c r="G301" s="9">
        <v>200</v>
      </c>
      <c r="H301" s="10"/>
      <c r="I301" s="8"/>
      <c r="J301" s="9">
        <v>30</v>
      </c>
      <c r="K301" s="8"/>
      <c r="L301" s="3">
        <v>2</v>
      </c>
      <c r="M301" s="3" t="s">
        <v>26</v>
      </c>
      <c r="O301" s="9">
        <f>MAX(J301,G301,F301,E301)</f>
        <v>200</v>
      </c>
      <c r="P301" s="10" t="str">
        <f>VLOOKUP($O301,codetabel!$A$1:$B$12,2,FALSE)</f>
        <v>4.1</v>
      </c>
      <c r="Q301" s="11"/>
      <c r="R301" s="54" t="str">
        <f t="shared" si="13"/>
        <v>4.1</v>
      </c>
    </row>
    <row r="302" spans="1:18">
      <c r="A302" s="2" t="s">
        <v>561</v>
      </c>
      <c r="B302" s="16" t="s">
        <v>562</v>
      </c>
      <c r="D302" s="6" t="s">
        <v>563</v>
      </c>
      <c r="E302" s="7">
        <v>30</v>
      </c>
      <c r="F302" s="3">
        <v>10</v>
      </c>
      <c r="G302" s="9">
        <v>100</v>
      </c>
      <c r="H302" s="10"/>
      <c r="I302" s="8"/>
      <c r="J302" s="9">
        <v>30</v>
      </c>
      <c r="K302" s="8" t="s">
        <v>25</v>
      </c>
      <c r="L302" s="3">
        <v>2</v>
      </c>
      <c r="M302" s="3" t="s">
        <v>26</v>
      </c>
      <c r="O302" s="9">
        <f>MAX(J302,G302,F302,E302)</f>
        <v>100</v>
      </c>
      <c r="P302" s="10" t="str">
        <f>VLOOKUP($O302,codetabel!$A$1:$B$12,2,FALSE)</f>
        <v>3.2</v>
      </c>
      <c r="Q302" s="11"/>
      <c r="R302" s="54" t="str">
        <f t="shared" si="13"/>
        <v>3.2</v>
      </c>
    </row>
    <row r="303" spans="1:18">
      <c r="A303" s="2" t="s">
        <v>564</v>
      </c>
      <c r="B303" s="16" t="s">
        <v>565</v>
      </c>
      <c r="D303" s="6" t="s">
        <v>566</v>
      </c>
      <c r="E303" s="7">
        <v>30</v>
      </c>
      <c r="F303" s="3">
        <v>30</v>
      </c>
      <c r="G303" s="9">
        <v>100</v>
      </c>
      <c r="H303" s="10"/>
      <c r="I303" s="8"/>
      <c r="J303" s="9">
        <v>30</v>
      </c>
      <c r="K303" s="8"/>
      <c r="L303" s="3">
        <v>2</v>
      </c>
      <c r="M303" s="3" t="s">
        <v>26</v>
      </c>
      <c r="O303" s="9">
        <f>MAX(J303,G303,F303,E303)</f>
        <v>100</v>
      </c>
      <c r="P303" s="10" t="str">
        <f>VLOOKUP($O303,codetabel!$A$1:$B$12,2,FALSE)</f>
        <v>3.2</v>
      </c>
      <c r="Q303" s="11" t="s">
        <v>27</v>
      </c>
      <c r="R303" s="54" t="str">
        <f t="shared" si="13"/>
        <v>3.2</v>
      </c>
    </row>
    <row r="304" spans="1:18">
      <c r="A304" s="2" t="s">
        <v>567</v>
      </c>
      <c r="B304" s="16" t="s">
        <v>496</v>
      </c>
      <c r="C304" s="14" t="s">
        <v>16</v>
      </c>
      <c r="D304" s="6" t="s">
        <v>169</v>
      </c>
      <c r="G304" s="9"/>
      <c r="H304" s="10"/>
      <c r="I304" s="8"/>
      <c r="J304" s="9"/>
      <c r="K304" s="8"/>
      <c r="P304" s="10" t="e">
        <f>VLOOKUP($O304,codetabel!$A$1:$B$12,2,FALSE)</f>
        <v>#N/A</v>
      </c>
      <c r="Q304" s="11"/>
      <c r="R304" s="54" t="str">
        <f t="shared" si="13"/>
        <v/>
      </c>
    </row>
    <row r="305" spans="1:26">
      <c r="A305" s="2" t="s">
        <v>567</v>
      </c>
      <c r="B305" s="16" t="s">
        <v>496</v>
      </c>
      <c r="C305" s="14" t="s">
        <v>16</v>
      </c>
      <c r="D305" s="6" t="s">
        <v>568</v>
      </c>
      <c r="G305" s="9"/>
      <c r="H305" s="10"/>
      <c r="I305" s="8"/>
      <c r="J305" s="9"/>
      <c r="K305" s="8"/>
      <c r="P305" s="10" t="e">
        <f>VLOOKUP($O305,codetabel!$A$1:$B$12,2,FALSE)</f>
        <v>#N/A</v>
      </c>
      <c r="Q305" s="11"/>
      <c r="R305" s="54" t="str">
        <f t="shared" si="13"/>
        <v/>
      </c>
    </row>
    <row r="306" spans="1:26">
      <c r="A306" s="2" t="s">
        <v>569</v>
      </c>
      <c r="B306" s="16" t="s">
        <v>570</v>
      </c>
      <c r="C306" s="13">
        <v>1</v>
      </c>
      <c r="D306" s="6" t="s">
        <v>571</v>
      </c>
      <c r="E306" s="7">
        <v>50</v>
      </c>
      <c r="F306" s="3">
        <v>50</v>
      </c>
      <c r="G306" s="9">
        <v>100</v>
      </c>
      <c r="H306" s="10"/>
      <c r="I306" s="8"/>
      <c r="J306" s="9">
        <v>30</v>
      </c>
      <c r="K306" s="8"/>
      <c r="L306" s="3">
        <v>2</v>
      </c>
      <c r="M306" s="3" t="s">
        <v>26</v>
      </c>
      <c r="O306" s="9">
        <f t="shared" ref="O306:O313" si="14">MAX(J306,G306,F306,E306)</f>
        <v>100</v>
      </c>
      <c r="P306" s="10" t="str">
        <f>VLOOKUP($O306,codetabel!$A$1:$B$12,2,FALSE)</f>
        <v>3.2</v>
      </c>
      <c r="Q306" s="11" t="s">
        <v>27</v>
      </c>
      <c r="R306" s="54" t="str">
        <f t="shared" si="13"/>
        <v>3.2</v>
      </c>
    </row>
    <row r="307" spans="1:26">
      <c r="A307" s="2" t="s">
        <v>569</v>
      </c>
      <c r="B307" s="16" t="s">
        <v>572</v>
      </c>
      <c r="C307" s="13">
        <v>2</v>
      </c>
      <c r="D307" s="6" t="s">
        <v>573</v>
      </c>
      <c r="E307" s="7">
        <v>0</v>
      </c>
      <c r="F307" s="3">
        <v>10</v>
      </c>
      <c r="G307" s="9">
        <v>10</v>
      </c>
      <c r="H307" s="10"/>
      <c r="I307" s="8"/>
      <c r="J307" s="9">
        <v>0</v>
      </c>
      <c r="K307" s="8"/>
      <c r="O307" s="9">
        <f t="shared" si="14"/>
        <v>10</v>
      </c>
      <c r="Q307" s="11"/>
      <c r="R307" s="54">
        <v>1</v>
      </c>
    </row>
    <row r="308" spans="1:26">
      <c r="A308" s="2" t="s">
        <v>574</v>
      </c>
      <c r="B308" s="16" t="s">
        <v>575</v>
      </c>
      <c r="D308" s="6" t="s">
        <v>576</v>
      </c>
      <c r="E308" s="7">
        <v>30</v>
      </c>
      <c r="F308" s="3">
        <v>10</v>
      </c>
      <c r="G308" s="9">
        <v>10</v>
      </c>
      <c r="H308" s="10"/>
      <c r="I308" s="8"/>
      <c r="J308" s="9">
        <v>10</v>
      </c>
      <c r="K308" s="8"/>
      <c r="L308" s="3">
        <v>1</v>
      </c>
      <c r="M308" s="3" t="s">
        <v>26</v>
      </c>
      <c r="O308" s="9">
        <f t="shared" si="14"/>
        <v>30</v>
      </c>
      <c r="P308" s="10">
        <f>VLOOKUP($O308,codetabel!$A$1:$B$12,2,FALSE)</f>
        <v>2</v>
      </c>
      <c r="Q308" s="11"/>
      <c r="R308" s="54">
        <f t="shared" ref="R308:R323" si="15">IF(ISNA(P308),"",P308)</f>
        <v>2</v>
      </c>
    </row>
    <row r="309" spans="1:26">
      <c r="A309" s="2" t="s">
        <v>577</v>
      </c>
      <c r="B309" s="16" t="s">
        <v>578</v>
      </c>
      <c r="D309" s="6" t="s">
        <v>579</v>
      </c>
      <c r="E309" s="7">
        <v>30</v>
      </c>
      <c r="F309" s="3">
        <v>10</v>
      </c>
      <c r="G309" s="9">
        <v>30</v>
      </c>
      <c r="H309" s="10"/>
      <c r="I309" s="8"/>
      <c r="J309" s="9">
        <v>10</v>
      </c>
      <c r="K309" s="8"/>
      <c r="L309" s="3">
        <v>2</v>
      </c>
      <c r="M309" s="3" t="s">
        <v>26</v>
      </c>
      <c r="O309" s="9">
        <f t="shared" si="14"/>
        <v>30</v>
      </c>
      <c r="P309" s="10">
        <f>VLOOKUP($O309,codetabel!$A$1:$B$12,2,FALSE)</f>
        <v>2</v>
      </c>
      <c r="Q309" s="11"/>
      <c r="R309" s="54">
        <f t="shared" si="15"/>
        <v>2</v>
      </c>
    </row>
    <row r="310" spans="1:26">
      <c r="A310" s="2" t="s">
        <v>580</v>
      </c>
      <c r="B310" s="16" t="s">
        <v>581</v>
      </c>
      <c r="D310" s="6" t="s">
        <v>582</v>
      </c>
      <c r="E310" s="7">
        <v>30</v>
      </c>
      <c r="F310" s="3">
        <v>10</v>
      </c>
      <c r="G310" s="9">
        <v>50</v>
      </c>
      <c r="H310" s="10"/>
      <c r="I310" s="8"/>
      <c r="J310" s="9">
        <v>30</v>
      </c>
      <c r="K310" s="8"/>
      <c r="L310" s="3">
        <v>2</v>
      </c>
      <c r="M310" s="3" t="s">
        <v>26</v>
      </c>
      <c r="O310" s="9">
        <f t="shared" si="14"/>
        <v>50</v>
      </c>
      <c r="P310" s="10" t="str">
        <f>VLOOKUP($O310,codetabel!$A$1:$B$12,2,FALSE)</f>
        <v>3.1</v>
      </c>
      <c r="Q310" s="11"/>
      <c r="R310" s="54" t="str">
        <f t="shared" si="15"/>
        <v>3.1</v>
      </c>
    </row>
    <row r="311" spans="1:26">
      <c r="A311" s="2" t="s">
        <v>583</v>
      </c>
      <c r="B311" s="16" t="s">
        <v>584</v>
      </c>
      <c r="D311" s="6" t="s">
        <v>585</v>
      </c>
      <c r="E311" s="7">
        <v>30</v>
      </c>
      <c r="F311" s="3">
        <v>10</v>
      </c>
      <c r="G311" s="9">
        <v>50</v>
      </c>
      <c r="H311" s="10"/>
      <c r="I311" s="8"/>
      <c r="J311" s="9">
        <v>30</v>
      </c>
      <c r="K311" s="8"/>
      <c r="L311" s="3">
        <v>2</v>
      </c>
      <c r="M311" s="3" t="s">
        <v>26</v>
      </c>
      <c r="O311" s="9">
        <f t="shared" si="14"/>
        <v>50</v>
      </c>
      <c r="P311" s="10" t="str">
        <f>VLOOKUP($O311,codetabel!$A$1:$B$12,2,FALSE)</f>
        <v>3.1</v>
      </c>
      <c r="Q311" s="11"/>
      <c r="R311" s="54" t="str">
        <f t="shared" si="15"/>
        <v>3.1</v>
      </c>
    </row>
    <row r="312" spans="1:26">
      <c r="A312" s="73" t="s">
        <v>586</v>
      </c>
      <c r="B312" s="16" t="s">
        <v>587</v>
      </c>
      <c r="D312" s="6" t="s">
        <v>588</v>
      </c>
      <c r="E312" s="7">
        <v>0</v>
      </c>
      <c r="F312" s="3">
        <v>30</v>
      </c>
      <c r="G312" s="9">
        <v>30</v>
      </c>
      <c r="H312" s="10"/>
      <c r="I312" s="8"/>
      <c r="J312" s="9">
        <v>0</v>
      </c>
      <c r="K312" s="8"/>
      <c r="L312" s="3">
        <v>1</v>
      </c>
      <c r="M312" s="3" t="s">
        <v>589</v>
      </c>
      <c r="O312" s="9">
        <f t="shared" si="14"/>
        <v>30</v>
      </c>
      <c r="P312" s="10">
        <f>VLOOKUP($O312,codetabel!$A$1:$B$12,2,FALSE)</f>
        <v>2</v>
      </c>
      <c r="Q312" s="11"/>
      <c r="R312" s="54">
        <f t="shared" si="15"/>
        <v>2</v>
      </c>
    </row>
    <row r="313" spans="1:26">
      <c r="A313" s="73" t="s">
        <v>590</v>
      </c>
      <c r="B313" s="16" t="s">
        <v>591</v>
      </c>
      <c r="D313" s="6" t="s">
        <v>592</v>
      </c>
      <c r="E313" s="7">
        <v>30</v>
      </c>
      <c r="F313" s="3">
        <v>10</v>
      </c>
      <c r="G313" s="9">
        <v>50</v>
      </c>
      <c r="H313" s="10"/>
      <c r="I313" s="8"/>
      <c r="J313" s="9">
        <v>30</v>
      </c>
      <c r="K313" s="8"/>
      <c r="L313" s="3">
        <v>2</v>
      </c>
      <c r="M313" s="3" t="s">
        <v>26</v>
      </c>
      <c r="O313" s="9">
        <f t="shared" si="14"/>
        <v>50</v>
      </c>
      <c r="P313" s="10" t="str">
        <f>VLOOKUP($O313,codetabel!$A$1:$B$12,2,FALSE)</f>
        <v>3.1</v>
      </c>
      <c r="Q313" s="11" t="s">
        <v>27</v>
      </c>
      <c r="R313" s="54" t="str">
        <f t="shared" si="15"/>
        <v>3.1</v>
      </c>
    </row>
    <row r="314" spans="1:26">
      <c r="A314" s="2" t="s">
        <v>593</v>
      </c>
      <c r="B314" s="16" t="s">
        <v>594</v>
      </c>
      <c r="C314" s="14" t="s">
        <v>16</v>
      </c>
      <c r="D314" s="6" t="s">
        <v>169</v>
      </c>
      <c r="G314" s="9"/>
      <c r="H314" s="10"/>
      <c r="I314" s="8"/>
      <c r="J314" s="9"/>
      <c r="K314" s="8"/>
      <c r="P314" s="10" t="e">
        <f>VLOOKUP($O314,codetabel!$A$1:$B$12,2,FALSE)</f>
        <v>#N/A</v>
      </c>
      <c r="Q314" s="11"/>
      <c r="R314" s="54" t="str">
        <f t="shared" si="15"/>
        <v/>
      </c>
    </row>
    <row r="315" spans="1:26">
      <c r="A315" s="2" t="s">
        <v>593</v>
      </c>
      <c r="B315" s="16" t="s">
        <v>594</v>
      </c>
      <c r="C315" s="14" t="s">
        <v>16</v>
      </c>
      <c r="D315" s="6" t="s">
        <v>595</v>
      </c>
      <c r="G315" s="9"/>
      <c r="H315" s="10"/>
      <c r="I315" s="8"/>
      <c r="J315" s="9"/>
      <c r="K315" s="8"/>
      <c r="P315" s="10" t="e">
        <f>VLOOKUP($O315,codetabel!$A$1:$B$12,2,FALSE)</f>
        <v>#N/A</v>
      </c>
      <c r="Q315" s="11"/>
      <c r="R315" s="54" t="str">
        <f t="shared" si="15"/>
        <v/>
      </c>
      <c r="Z315" s="5"/>
    </row>
    <row r="316" spans="1:26">
      <c r="A316" s="2" t="s">
        <v>596</v>
      </c>
      <c r="B316" s="16" t="s">
        <v>597</v>
      </c>
      <c r="C316" s="14" t="s">
        <v>281</v>
      </c>
      <c r="D316" s="6" t="s">
        <v>598</v>
      </c>
      <c r="G316" s="9"/>
      <c r="H316" s="10"/>
      <c r="I316" s="8"/>
      <c r="J316" s="9"/>
      <c r="K316" s="8"/>
      <c r="P316" s="10" t="e">
        <f>VLOOKUP($O316,codetabel!$A$1:$B$12,2,FALSE)</f>
        <v>#N/A</v>
      </c>
      <c r="Q316" s="11"/>
      <c r="R316" s="54" t="str">
        <f t="shared" si="15"/>
        <v/>
      </c>
      <c r="Z316" s="5"/>
    </row>
    <row r="317" spans="1:26">
      <c r="A317" s="2" t="s">
        <v>596</v>
      </c>
      <c r="B317" s="16" t="s">
        <v>597</v>
      </c>
      <c r="C317" s="14" t="s">
        <v>283</v>
      </c>
      <c r="D317" s="6" t="s">
        <v>599</v>
      </c>
      <c r="E317" s="7">
        <v>30</v>
      </c>
      <c r="F317" s="3">
        <v>100</v>
      </c>
      <c r="G317" s="9">
        <v>300</v>
      </c>
      <c r="H317" s="10"/>
      <c r="I317" s="8"/>
      <c r="J317" s="9">
        <v>10</v>
      </c>
      <c r="K317" s="8"/>
      <c r="L317" s="3">
        <v>2</v>
      </c>
      <c r="M317" s="3" t="s">
        <v>26</v>
      </c>
      <c r="O317" s="9">
        <f>MAX(J317,G317,F317,E317)</f>
        <v>300</v>
      </c>
      <c r="P317" s="10" t="str">
        <f>VLOOKUP($O317,codetabel!$A$1:$B$12,2,FALSE)</f>
        <v>4.2</v>
      </c>
      <c r="Q317" s="11"/>
      <c r="R317" s="54" t="str">
        <f t="shared" si="15"/>
        <v>4.2</v>
      </c>
      <c r="Z317" s="5"/>
    </row>
    <row r="318" spans="1:26">
      <c r="A318" s="2" t="s">
        <v>596</v>
      </c>
      <c r="B318" s="16" t="s">
        <v>597</v>
      </c>
      <c r="C318" s="14" t="s">
        <v>262</v>
      </c>
      <c r="D318" s="6" t="s">
        <v>600</v>
      </c>
      <c r="E318" s="7">
        <v>300</v>
      </c>
      <c r="F318" s="3">
        <v>50</v>
      </c>
      <c r="G318" s="9">
        <v>100</v>
      </c>
      <c r="H318" s="10"/>
      <c r="I318" s="8"/>
      <c r="J318" s="9">
        <v>50</v>
      </c>
      <c r="K318" s="8" t="s">
        <v>25</v>
      </c>
      <c r="L318" s="3">
        <v>2</v>
      </c>
      <c r="M318" s="3" t="s">
        <v>26</v>
      </c>
      <c r="O318" s="9">
        <f>MAX(J318,G318,F318,E318)</f>
        <v>300</v>
      </c>
      <c r="P318" s="10" t="str">
        <f>VLOOKUP($O318,codetabel!$A$1:$B$12,2,FALSE)</f>
        <v>4.2</v>
      </c>
      <c r="Q318" s="11"/>
      <c r="R318" s="54" t="str">
        <f t="shared" si="15"/>
        <v>4.2</v>
      </c>
      <c r="Z318" s="5"/>
    </row>
    <row r="319" spans="1:26">
      <c r="A319" s="2" t="s">
        <v>596</v>
      </c>
      <c r="B319" s="16" t="s">
        <v>597</v>
      </c>
      <c r="C319" s="14" t="s">
        <v>24</v>
      </c>
      <c r="D319" s="6" t="s">
        <v>601</v>
      </c>
      <c r="E319" s="7">
        <v>200</v>
      </c>
      <c r="F319" s="3">
        <v>200</v>
      </c>
      <c r="G319" s="9">
        <v>300</v>
      </c>
      <c r="H319" s="10" t="s">
        <v>24</v>
      </c>
      <c r="I319" s="8"/>
      <c r="J319" s="9">
        <v>50</v>
      </c>
      <c r="K319" s="8"/>
      <c r="L319" s="3">
        <v>3</v>
      </c>
      <c r="M319" s="3" t="s">
        <v>26</v>
      </c>
      <c r="O319" s="9">
        <f>MAX(J319,G319,F319,E319)</f>
        <v>300</v>
      </c>
      <c r="P319" s="10" t="str">
        <f>VLOOKUP($O319,codetabel!$A$1:$B$12,2,FALSE)</f>
        <v>4.2</v>
      </c>
      <c r="Q319" s="11"/>
      <c r="R319" s="54" t="str">
        <f t="shared" si="15"/>
        <v>4.2</v>
      </c>
      <c r="Z319" s="5"/>
    </row>
    <row r="320" spans="1:26">
      <c r="A320" s="2" t="s">
        <v>602</v>
      </c>
      <c r="B320" s="16" t="s">
        <v>544</v>
      </c>
      <c r="C320" s="14" t="s">
        <v>16</v>
      </c>
      <c r="D320" s="6" t="s">
        <v>169</v>
      </c>
      <c r="G320" s="9"/>
      <c r="H320" s="10"/>
      <c r="I320" s="8"/>
      <c r="J320" s="9"/>
      <c r="K320" s="8"/>
      <c r="P320" s="10" t="e">
        <f>VLOOKUP($O320,codetabel!$A$1:$B$12,2,FALSE)</f>
        <v>#N/A</v>
      </c>
      <c r="Q320" s="11"/>
      <c r="R320" s="54" t="str">
        <f t="shared" si="15"/>
        <v/>
      </c>
      <c r="Z320" s="5"/>
    </row>
    <row r="321" spans="1:26">
      <c r="A321" s="2" t="s">
        <v>602</v>
      </c>
      <c r="B321" s="16" t="s">
        <v>544</v>
      </c>
      <c r="C321" s="14" t="s">
        <v>16</v>
      </c>
      <c r="D321" s="6" t="s">
        <v>603</v>
      </c>
      <c r="G321" s="9"/>
      <c r="H321" s="10"/>
      <c r="I321" s="8"/>
      <c r="J321" s="9"/>
      <c r="K321" s="8"/>
      <c r="P321" s="10" t="e">
        <f>VLOOKUP($O321,codetabel!$A$1:$B$12,2,FALSE)</f>
        <v>#N/A</v>
      </c>
      <c r="Q321" s="11"/>
      <c r="R321" s="54" t="str">
        <f t="shared" si="15"/>
        <v/>
      </c>
      <c r="Z321" s="5"/>
    </row>
    <row r="322" spans="1:26">
      <c r="A322" s="2" t="s">
        <v>602</v>
      </c>
      <c r="B322" s="16" t="s">
        <v>544</v>
      </c>
      <c r="C322" s="14" t="s">
        <v>281</v>
      </c>
      <c r="D322" s="6" t="s">
        <v>604</v>
      </c>
      <c r="G322" s="9"/>
      <c r="H322" s="10"/>
      <c r="I322" s="8"/>
      <c r="J322" s="9"/>
      <c r="K322" s="8"/>
      <c r="P322" s="10" t="e">
        <f>VLOOKUP($O322,codetabel!$A$1:$B$12,2,FALSE)</f>
        <v>#N/A</v>
      </c>
      <c r="Q322" s="11"/>
      <c r="R322" s="54" t="str">
        <f t="shared" si="15"/>
        <v/>
      </c>
      <c r="Z322" s="5"/>
    </row>
    <row r="323" spans="1:26">
      <c r="A323" s="2" t="s">
        <v>602</v>
      </c>
      <c r="B323" s="16" t="s">
        <v>544</v>
      </c>
      <c r="C323" s="14" t="s">
        <v>605</v>
      </c>
      <c r="D323" s="6" t="s">
        <v>606</v>
      </c>
      <c r="E323" s="7">
        <v>10</v>
      </c>
      <c r="F323" s="3">
        <v>10</v>
      </c>
      <c r="G323" s="9">
        <v>500</v>
      </c>
      <c r="H323" s="10" t="s">
        <v>24</v>
      </c>
      <c r="I323" s="8"/>
      <c r="J323" s="9">
        <v>1500</v>
      </c>
      <c r="K323" s="8"/>
      <c r="L323" s="3">
        <v>1</v>
      </c>
      <c r="M323" s="3" t="s">
        <v>589</v>
      </c>
      <c r="O323" s="9">
        <f>MAX(J323,G323,F323,E323)</f>
        <v>1500</v>
      </c>
      <c r="P323" s="10">
        <f>VLOOKUP($O323,codetabel!$A$1:$B$12,2,FALSE)</f>
        <v>6</v>
      </c>
      <c r="Q323" s="11" t="s">
        <v>27</v>
      </c>
      <c r="R323" s="54">
        <f t="shared" si="15"/>
        <v>6</v>
      </c>
      <c r="Z323" s="5"/>
    </row>
    <row r="324" spans="1:26">
      <c r="A324" s="2" t="s">
        <v>602</v>
      </c>
      <c r="B324" s="16" t="s">
        <v>544</v>
      </c>
      <c r="C324" s="14" t="s">
        <v>284</v>
      </c>
      <c r="D324" s="6" t="s">
        <v>607</v>
      </c>
      <c r="E324" s="19"/>
      <c r="F324" s="20"/>
      <c r="G324" s="21"/>
      <c r="H324" s="22"/>
      <c r="I324" s="23"/>
      <c r="J324" s="21"/>
      <c r="K324" s="23"/>
      <c r="L324" s="24"/>
      <c r="M324" s="24"/>
      <c r="N324" s="24"/>
      <c r="O324" s="21"/>
      <c r="P324" s="22"/>
      <c r="Q324" s="55"/>
      <c r="R324" s="54"/>
      <c r="S324" s="56"/>
      <c r="T324" s="57"/>
      <c r="U324" s="24"/>
      <c r="V324" s="24"/>
      <c r="W324" s="24"/>
      <c r="X324" s="1"/>
      <c r="Y324" s="3"/>
      <c r="Z324" s="1"/>
    </row>
    <row r="325" spans="1:26" ht="22.5">
      <c r="A325" s="2" t="s">
        <v>602</v>
      </c>
      <c r="B325" s="16" t="s">
        <v>544</v>
      </c>
      <c r="C325" s="14" t="s">
        <v>286</v>
      </c>
      <c r="D325" s="6" t="s">
        <v>608</v>
      </c>
      <c r="E325" s="25">
        <v>100</v>
      </c>
      <c r="F325" s="26">
        <v>50</v>
      </c>
      <c r="G325" s="27">
        <v>100</v>
      </c>
      <c r="H325" s="10"/>
      <c r="I325" s="8"/>
      <c r="J325" s="27">
        <v>30</v>
      </c>
      <c r="K325" s="8" t="s">
        <v>25</v>
      </c>
      <c r="L325" s="24"/>
      <c r="M325" s="24"/>
      <c r="O325" s="27">
        <f>MAX(E325:J325)</f>
        <v>100</v>
      </c>
      <c r="Q325" s="11"/>
      <c r="R325" s="54" t="s">
        <v>609</v>
      </c>
      <c r="S325" s="56"/>
      <c r="T325" s="57"/>
      <c r="X325" s="58"/>
      <c r="Y325" s="58"/>
      <c r="Z325" s="1"/>
    </row>
    <row r="326" spans="1:26">
      <c r="A326" s="2" t="s">
        <v>602</v>
      </c>
      <c r="B326" s="16" t="s">
        <v>544</v>
      </c>
      <c r="C326" s="14" t="s">
        <v>288</v>
      </c>
      <c r="D326" s="6" t="s">
        <v>610</v>
      </c>
      <c r="E326" s="25">
        <v>50</v>
      </c>
      <c r="F326" s="26">
        <v>50</v>
      </c>
      <c r="G326" s="27">
        <v>100</v>
      </c>
      <c r="H326" s="10"/>
      <c r="I326" s="8"/>
      <c r="J326" s="27">
        <v>30</v>
      </c>
      <c r="K326" s="8" t="s">
        <v>25</v>
      </c>
      <c r="L326" s="24"/>
      <c r="M326" s="24"/>
      <c r="O326" s="27">
        <f>MAX(E326:J326)</f>
        <v>100</v>
      </c>
      <c r="Q326" s="11"/>
      <c r="R326" s="54" t="s">
        <v>609</v>
      </c>
      <c r="S326" s="56"/>
      <c r="T326" s="57"/>
      <c r="X326" s="58"/>
      <c r="Y326" s="58"/>
      <c r="Z326" s="1"/>
    </row>
    <row r="327" spans="1:26">
      <c r="A327" s="2" t="s">
        <v>602</v>
      </c>
      <c r="B327" s="16" t="s">
        <v>544</v>
      </c>
      <c r="C327" s="14" t="s">
        <v>611</v>
      </c>
      <c r="D327" s="6" t="s">
        <v>612</v>
      </c>
      <c r="G327" s="9"/>
      <c r="H327" s="10"/>
      <c r="I327" s="8"/>
      <c r="J327" s="9"/>
      <c r="K327" s="8"/>
      <c r="P327" s="10" t="e">
        <f>VLOOKUP($O327,codetabel!$A$1:$B$12,2,FALSE)</f>
        <v>#N/A</v>
      </c>
      <c r="Q327" s="11"/>
      <c r="R327" s="54" t="str">
        <f t="shared" ref="R327:R346" si="16">IF(ISNA(P327),"",P327)</f>
        <v/>
      </c>
    </row>
    <row r="328" spans="1:26">
      <c r="A328" s="2" t="s">
        <v>602</v>
      </c>
      <c r="B328" s="16" t="s">
        <v>544</v>
      </c>
      <c r="C328" s="14" t="s">
        <v>613</v>
      </c>
      <c r="D328" s="6" t="s">
        <v>614</v>
      </c>
      <c r="E328" s="7">
        <v>0</v>
      </c>
      <c r="F328" s="3">
        <v>0</v>
      </c>
      <c r="G328" s="9">
        <v>30</v>
      </c>
      <c r="H328" s="10" t="s">
        <v>24</v>
      </c>
      <c r="I328" s="8"/>
      <c r="J328" s="9">
        <v>10</v>
      </c>
      <c r="K328" s="8"/>
      <c r="L328" s="3">
        <v>1</v>
      </c>
      <c r="M328" s="3" t="s">
        <v>589</v>
      </c>
      <c r="O328" s="9">
        <f>MAX(J328,G328,F328,E328)</f>
        <v>30</v>
      </c>
      <c r="P328" s="10">
        <f>VLOOKUP($O328,codetabel!$A$1:$B$12,2,FALSE)</f>
        <v>2</v>
      </c>
      <c r="Q328" s="11"/>
      <c r="R328" s="54">
        <f t="shared" si="16"/>
        <v>2</v>
      </c>
    </row>
    <row r="329" spans="1:26">
      <c r="A329" s="2" t="s">
        <v>602</v>
      </c>
      <c r="B329" s="16" t="s">
        <v>544</v>
      </c>
      <c r="C329" s="14" t="s">
        <v>615</v>
      </c>
      <c r="D329" s="6" t="s">
        <v>616</v>
      </c>
      <c r="E329" s="7">
        <v>0</v>
      </c>
      <c r="F329" s="3">
        <v>0</v>
      </c>
      <c r="G329" s="9">
        <v>50</v>
      </c>
      <c r="H329" s="10" t="s">
        <v>24</v>
      </c>
      <c r="I329" s="8"/>
      <c r="J329" s="9">
        <v>30</v>
      </c>
      <c r="K329" s="8"/>
      <c r="L329" s="3">
        <v>1</v>
      </c>
      <c r="M329" s="3" t="s">
        <v>589</v>
      </c>
      <c r="O329" s="9">
        <f>MAX(J329,G329,F329,E329)</f>
        <v>50</v>
      </c>
      <c r="P329" s="10" t="str">
        <f>VLOOKUP($O329,codetabel!$A$1:$B$12,2,FALSE)</f>
        <v>3.1</v>
      </c>
      <c r="Q329" s="11"/>
      <c r="R329" s="54" t="str">
        <f t="shared" si="16"/>
        <v>3.1</v>
      </c>
    </row>
    <row r="330" spans="1:26">
      <c r="A330" s="2" t="s">
        <v>602</v>
      </c>
      <c r="B330" s="16" t="s">
        <v>544</v>
      </c>
      <c r="C330" s="14" t="s">
        <v>617</v>
      </c>
      <c r="D330" s="6" t="s">
        <v>618</v>
      </c>
      <c r="E330" s="7">
        <v>0</v>
      </c>
      <c r="F330" s="3">
        <v>0</v>
      </c>
      <c r="G330" s="9">
        <v>100</v>
      </c>
      <c r="H330" s="10" t="s">
        <v>24</v>
      </c>
      <c r="I330" s="8"/>
      <c r="J330" s="9">
        <v>50</v>
      </c>
      <c r="K330" s="8"/>
      <c r="L330" s="3">
        <v>1</v>
      </c>
      <c r="M330" s="3" t="s">
        <v>589</v>
      </c>
      <c r="O330" s="9">
        <f>MAX(J330,G330,F330,E330)</f>
        <v>100</v>
      </c>
      <c r="P330" s="10" t="str">
        <f>VLOOKUP($O330,codetabel!$A$1:$B$12,2,FALSE)</f>
        <v>3.2</v>
      </c>
      <c r="Q330" s="11"/>
      <c r="R330" s="54" t="str">
        <f t="shared" si="16"/>
        <v>3.2</v>
      </c>
    </row>
    <row r="331" spans="1:26">
      <c r="A331" s="2" t="s">
        <v>602</v>
      </c>
      <c r="B331" s="16" t="s">
        <v>544</v>
      </c>
      <c r="C331" s="14" t="s">
        <v>619</v>
      </c>
      <c r="D331" s="6" t="s">
        <v>620</v>
      </c>
      <c r="E331" s="7">
        <v>0</v>
      </c>
      <c r="F331" s="3">
        <v>0</v>
      </c>
      <c r="G331" s="9">
        <v>300</v>
      </c>
      <c r="H331" s="10" t="s">
        <v>24</v>
      </c>
      <c r="I331" s="8" t="s">
        <v>70</v>
      </c>
      <c r="J331" s="9">
        <v>50</v>
      </c>
      <c r="K331" s="8"/>
      <c r="L331" s="3">
        <v>1</v>
      </c>
      <c r="M331" s="3" t="s">
        <v>589</v>
      </c>
      <c r="O331" s="9">
        <f>MAX(J331,G331,F331,E331)</f>
        <v>300</v>
      </c>
      <c r="P331" s="10" t="str">
        <f>VLOOKUP($O331,codetabel!$A$1:$B$12,2,FALSE)</f>
        <v>4.2</v>
      </c>
      <c r="Q331" s="11"/>
      <c r="R331" s="54" t="str">
        <f t="shared" si="16"/>
        <v>4.2</v>
      </c>
    </row>
    <row r="332" spans="1:26">
      <c r="A332" s="2" t="s">
        <v>602</v>
      </c>
      <c r="B332" s="16" t="s">
        <v>544</v>
      </c>
      <c r="C332" s="14" t="s">
        <v>409</v>
      </c>
      <c r="D332" s="6" t="s">
        <v>621</v>
      </c>
      <c r="G332" s="9"/>
      <c r="H332" s="10"/>
      <c r="I332" s="8"/>
      <c r="J332" s="9"/>
      <c r="K332" s="8"/>
      <c r="P332" s="10" t="e">
        <f>VLOOKUP($O332,codetabel!$A$1:$B$12,2,FALSE)</f>
        <v>#N/A</v>
      </c>
      <c r="Q332" s="11"/>
      <c r="R332" s="54" t="str">
        <f t="shared" si="16"/>
        <v/>
      </c>
    </row>
    <row r="333" spans="1:26">
      <c r="A333" s="2" t="s">
        <v>602</v>
      </c>
      <c r="B333" s="16" t="s">
        <v>544</v>
      </c>
      <c r="C333" s="14" t="s">
        <v>411</v>
      </c>
      <c r="D333" s="6" t="s">
        <v>622</v>
      </c>
      <c r="E333" s="7">
        <v>0</v>
      </c>
      <c r="F333" s="3">
        <v>0</v>
      </c>
      <c r="G333" s="9">
        <v>300</v>
      </c>
      <c r="H333" s="10" t="s">
        <v>24</v>
      </c>
      <c r="I333" s="8"/>
      <c r="J333" s="9">
        <v>100</v>
      </c>
      <c r="K333" s="8"/>
      <c r="L333" s="3">
        <v>1</v>
      </c>
      <c r="M333" s="3" t="s">
        <v>589</v>
      </c>
      <c r="O333" s="9">
        <f>MAX(J333,G333,F333,E333)</f>
        <v>300</v>
      </c>
      <c r="P333" s="10" t="str">
        <f>VLOOKUP($O333,codetabel!$A$1:$B$12,2,FALSE)</f>
        <v>4.2</v>
      </c>
      <c r="Q333" s="11"/>
      <c r="R333" s="54" t="str">
        <f t="shared" si="16"/>
        <v>4.2</v>
      </c>
    </row>
    <row r="334" spans="1:26">
      <c r="A334" s="2" t="s">
        <v>602</v>
      </c>
      <c r="B334" s="16" t="s">
        <v>544</v>
      </c>
      <c r="C334" s="14" t="s">
        <v>623</v>
      </c>
      <c r="D334" s="6" t="s">
        <v>624</v>
      </c>
      <c r="E334" s="7">
        <v>0</v>
      </c>
      <c r="F334" s="3">
        <v>0</v>
      </c>
      <c r="G334" s="9">
        <v>50</v>
      </c>
      <c r="H334" s="10" t="s">
        <v>24</v>
      </c>
      <c r="I334" s="8"/>
      <c r="J334" s="9">
        <v>50</v>
      </c>
      <c r="K334" s="8" t="s">
        <v>25</v>
      </c>
      <c r="L334" s="3">
        <v>1</v>
      </c>
      <c r="M334" s="3" t="s">
        <v>589</v>
      </c>
      <c r="O334" s="9">
        <f>MAX(J334,G334,F334,E334)</f>
        <v>50</v>
      </c>
      <c r="P334" s="10" t="str">
        <f>VLOOKUP($O334,codetabel!$A$1:$B$12,2,FALSE)</f>
        <v>3.1</v>
      </c>
      <c r="Q334" s="11"/>
      <c r="R334" s="54" t="str">
        <f t="shared" si="16"/>
        <v>3.1</v>
      </c>
    </row>
    <row r="335" spans="1:26">
      <c r="A335" s="2" t="s">
        <v>602</v>
      </c>
      <c r="B335" s="16" t="s">
        <v>544</v>
      </c>
      <c r="C335" s="14" t="s">
        <v>625</v>
      </c>
      <c r="D335" s="6" t="s">
        <v>626</v>
      </c>
      <c r="G335" s="9"/>
      <c r="H335" s="10"/>
      <c r="I335" s="8"/>
      <c r="J335" s="9"/>
      <c r="K335" s="8"/>
      <c r="P335" s="10" t="e">
        <f>VLOOKUP($O335,codetabel!$A$1:$B$12,2,FALSE)</f>
        <v>#N/A</v>
      </c>
      <c r="Q335" s="11"/>
      <c r="R335" s="54" t="str">
        <f t="shared" si="16"/>
        <v/>
      </c>
    </row>
    <row r="336" spans="1:26">
      <c r="A336" s="2" t="s">
        <v>602</v>
      </c>
      <c r="B336" s="16" t="s">
        <v>544</v>
      </c>
      <c r="C336" s="14" t="s">
        <v>627</v>
      </c>
      <c r="D336" s="6" t="s">
        <v>628</v>
      </c>
      <c r="E336" s="7">
        <v>30</v>
      </c>
      <c r="F336" s="3">
        <v>10</v>
      </c>
      <c r="G336" s="9">
        <v>100</v>
      </c>
      <c r="H336" s="10" t="s">
        <v>24</v>
      </c>
      <c r="I336" s="8"/>
      <c r="J336" s="9">
        <v>50</v>
      </c>
      <c r="K336" s="8"/>
      <c r="L336" s="3">
        <v>1</v>
      </c>
      <c r="M336" s="3" t="s">
        <v>589</v>
      </c>
      <c r="O336" s="9">
        <f>MAX(J336,G336,F336,E336)</f>
        <v>100</v>
      </c>
      <c r="P336" s="10" t="str">
        <f>VLOOKUP($O336,codetabel!$A$1:$B$12,2,FALSE)</f>
        <v>3.2</v>
      </c>
      <c r="Q336" s="11"/>
      <c r="R336" s="54" t="str">
        <f t="shared" si="16"/>
        <v>3.2</v>
      </c>
    </row>
    <row r="337" spans="1:18">
      <c r="A337" s="2" t="s">
        <v>629</v>
      </c>
      <c r="B337" s="16" t="s">
        <v>567</v>
      </c>
      <c r="C337" s="14" t="s">
        <v>16</v>
      </c>
      <c r="D337" s="6" t="s">
        <v>169</v>
      </c>
      <c r="G337" s="9"/>
      <c r="H337" s="10"/>
      <c r="I337" s="8"/>
      <c r="J337" s="9"/>
      <c r="K337" s="8"/>
      <c r="P337" s="10" t="e">
        <f>VLOOKUP($O337,codetabel!$A$1:$B$12,2,FALSE)</f>
        <v>#N/A</v>
      </c>
      <c r="Q337" s="11"/>
      <c r="R337" s="54" t="str">
        <f t="shared" si="16"/>
        <v/>
      </c>
    </row>
    <row r="338" spans="1:18">
      <c r="A338" s="2" t="s">
        <v>629</v>
      </c>
      <c r="B338" s="16" t="s">
        <v>567</v>
      </c>
      <c r="C338" s="14" t="s">
        <v>16</v>
      </c>
      <c r="D338" s="6" t="s">
        <v>630</v>
      </c>
      <c r="G338" s="9"/>
      <c r="H338" s="10"/>
      <c r="I338" s="8"/>
      <c r="J338" s="9"/>
      <c r="K338" s="8"/>
      <c r="P338" s="10" t="e">
        <f>VLOOKUP($O338,codetabel!$A$1:$B$12,2,FALSE)</f>
        <v>#N/A</v>
      </c>
      <c r="Q338" s="11"/>
      <c r="R338" s="54" t="str">
        <f t="shared" si="16"/>
        <v/>
      </c>
    </row>
    <row r="339" spans="1:18">
      <c r="A339" s="2" t="s">
        <v>629</v>
      </c>
      <c r="B339" s="16" t="s">
        <v>567</v>
      </c>
      <c r="C339" s="14" t="s">
        <v>281</v>
      </c>
      <c r="D339" s="6" t="s">
        <v>631</v>
      </c>
      <c r="G339" s="9"/>
      <c r="H339" s="10"/>
      <c r="I339" s="8"/>
      <c r="J339" s="9"/>
      <c r="K339" s="8"/>
      <c r="P339" s="10" t="e">
        <f>VLOOKUP($O339,codetabel!$A$1:$B$12,2,FALSE)</f>
        <v>#N/A</v>
      </c>
      <c r="Q339" s="11"/>
      <c r="R339" s="54" t="str">
        <f t="shared" si="16"/>
        <v/>
      </c>
    </row>
    <row r="340" spans="1:18">
      <c r="A340" s="2" t="s">
        <v>629</v>
      </c>
      <c r="B340" s="16" t="s">
        <v>567</v>
      </c>
      <c r="C340" s="14" t="s">
        <v>632</v>
      </c>
      <c r="D340" s="6" t="s">
        <v>633</v>
      </c>
      <c r="E340" s="7">
        <v>10</v>
      </c>
      <c r="F340" s="3">
        <v>0</v>
      </c>
      <c r="G340" s="9">
        <v>50</v>
      </c>
      <c r="H340" s="10" t="s">
        <v>24</v>
      </c>
      <c r="I340" s="8"/>
      <c r="J340" s="9">
        <v>30</v>
      </c>
      <c r="K340" s="8"/>
      <c r="L340" s="3">
        <v>1</v>
      </c>
      <c r="M340" s="3" t="s">
        <v>26</v>
      </c>
      <c r="O340" s="9">
        <f>MAX(J340,G340,F340,E340)</f>
        <v>50</v>
      </c>
      <c r="P340" s="10" t="str">
        <f>VLOOKUP($O340,codetabel!$A$1:$B$12,2,FALSE)</f>
        <v>3.1</v>
      </c>
      <c r="Q340" s="11"/>
      <c r="R340" s="54" t="str">
        <f t="shared" si="16"/>
        <v>3.1</v>
      </c>
    </row>
    <row r="341" spans="1:18">
      <c r="A341" s="2" t="s">
        <v>629</v>
      </c>
      <c r="B341" s="16" t="s">
        <v>567</v>
      </c>
      <c r="C341" s="14" t="s">
        <v>284</v>
      </c>
      <c r="D341" s="6" t="s">
        <v>634</v>
      </c>
      <c r="G341" s="9"/>
      <c r="H341" s="10"/>
      <c r="I341" s="8"/>
      <c r="J341" s="9"/>
      <c r="K341" s="8"/>
      <c r="P341" s="10" t="e">
        <f>VLOOKUP($O341,codetabel!$A$1:$B$12,2,FALSE)</f>
        <v>#N/A</v>
      </c>
      <c r="Q341" s="11"/>
      <c r="R341" s="54" t="str">
        <f t="shared" si="16"/>
        <v/>
      </c>
    </row>
    <row r="342" spans="1:18">
      <c r="A342" s="2" t="s">
        <v>629</v>
      </c>
      <c r="B342" s="16" t="s">
        <v>567</v>
      </c>
      <c r="C342" s="14" t="s">
        <v>286</v>
      </c>
      <c r="D342" s="6" t="s">
        <v>635</v>
      </c>
      <c r="E342" s="7">
        <v>0</v>
      </c>
      <c r="F342" s="3">
        <v>0</v>
      </c>
      <c r="G342" s="9">
        <v>30</v>
      </c>
      <c r="H342" s="10" t="s">
        <v>24</v>
      </c>
      <c r="I342" s="8"/>
      <c r="J342" s="9">
        <v>10</v>
      </c>
      <c r="K342" s="8"/>
      <c r="L342" s="3">
        <v>1</v>
      </c>
      <c r="M342" s="3" t="s">
        <v>589</v>
      </c>
      <c r="O342" s="9">
        <f>MAX(J342,G342,F342,E342)</f>
        <v>30</v>
      </c>
      <c r="P342" s="10">
        <f>VLOOKUP($O342,codetabel!$A$1:$B$12,2,FALSE)</f>
        <v>2</v>
      </c>
      <c r="Q342" s="11"/>
      <c r="R342" s="54">
        <f t="shared" si="16"/>
        <v>2</v>
      </c>
    </row>
    <row r="343" spans="1:18">
      <c r="A343" s="2" t="s">
        <v>629</v>
      </c>
      <c r="B343" s="16" t="s">
        <v>567</v>
      </c>
      <c r="C343" s="14" t="s">
        <v>288</v>
      </c>
      <c r="D343" s="6" t="s">
        <v>636</v>
      </c>
      <c r="E343" s="7">
        <v>0</v>
      </c>
      <c r="F343" s="3">
        <v>0</v>
      </c>
      <c r="G343" s="9">
        <v>100</v>
      </c>
      <c r="H343" s="10" t="s">
        <v>24</v>
      </c>
      <c r="I343" s="8"/>
      <c r="J343" s="9">
        <v>10</v>
      </c>
      <c r="K343" s="8"/>
      <c r="L343" s="3">
        <v>1</v>
      </c>
      <c r="M343" s="3" t="s">
        <v>589</v>
      </c>
      <c r="O343" s="9">
        <f>MAX(J343,G343,F343,E343)</f>
        <v>100</v>
      </c>
      <c r="P343" s="10" t="str">
        <f>VLOOKUP($O343,codetabel!$A$1:$B$12,2,FALSE)</f>
        <v>3.2</v>
      </c>
      <c r="Q343" s="11"/>
      <c r="R343" s="54" t="str">
        <f t="shared" si="16"/>
        <v>3.2</v>
      </c>
    </row>
    <row r="344" spans="1:18">
      <c r="A344" s="2" t="s">
        <v>629</v>
      </c>
      <c r="B344" s="16" t="s">
        <v>567</v>
      </c>
      <c r="C344" s="14" t="s">
        <v>637</v>
      </c>
      <c r="D344" s="6" t="s">
        <v>638</v>
      </c>
      <c r="E344" s="7">
        <v>0</v>
      </c>
      <c r="F344" s="3">
        <v>0</v>
      </c>
      <c r="G344" s="9">
        <v>300</v>
      </c>
      <c r="H344" s="10" t="s">
        <v>24</v>
      </c>
      <c r="I344" s="8"/>
      <c r="J344" s="9">
        <v>10</v>
      </c>
      <c r="K344" s="8"/>
      <c r="L344" s="3">
        <v>1</v>
      </c>
      <c r="M344" s="3" t="s">
        <v>589</v>
      </c>
      <c r="O344" s="9">
        <f>MAX(J344,G344,F344,E344)</f>
        <v>300</v>
      </c>
      <c r="P344" s="10" t="str">
        <f>VLOOKUP($O344,codetabel!$A$1:$B$12,2,FALSE)</f>
        <v>4.2</v>
      </c>
      <c r="Q344" s="11"/>
      <c r="R344" s="54" t="str">
        <f t="shared" si="16"/>
        <v>4.2</v>
      </c>
    </row>
    <row r="345" spans="1:18">
      <c r="A345" s="2" t="s">
        <v>639</v>
      </c>
      <c r="B345" s="16" t="s">
        <v>640</v>
      </c>
      <c r="C345" s="14" t="s">
        <v>16</v>
      </c>
      <c r="D345" s="6" t="s">
        <v>169</v>
      </c>
      <c r="G345" s="9"/>
      <c r="H345" s="10"/>
      <c r="I345" s="8"/>
      <c r="J345" s="9"/>
      <c r="K345" s="8"/>
      <c r="P345" s="10" t="e">
        <f>VLOOKUP($O345,codetabel!$A$1:$B$12,2,FALSE)</f>
        <v>#N/A</v>
      </c>
      <c r="Q345" s="11"/>
      <c r="R345" s="54" t="str">
        <f t="shared" si="16"/>
        <v/>
      </c>
    </row>
    <row r="346" spans="1:18">
      <c r="A346" s="2" t="s">
        <v>639</v>
      </c>
      <c r="B346" s="16" t="s">
        <v>640</v>
      </c>
      <c r="C346" s="14" t="s">
        <v>16</v>
      </c>
      <c r="D346" s="6" t="s">
        <v>641</v>
      </c>
      <c r="G346" s="9"/>
      <c r="H346" s="10"/>
      <c r="I346" s="8"/>
      <c r="J346" s="9"/>
      <c r="K346" s="8"/>
      <c r="P346" s="10" t="e">
        <f>VLOOKUP($O346,codetabel!$A$1:$B$12,2,FALSE)</f>
        <v>#N/A</v>
      </c>
      <c r="Q346" s="11"/>
      <c r="R346" s="54" t="str">
        <f t="shared" si="16"/>
        <v/>
      </c>
    </row>
    <row r="347" spans="1:18">
      <c r="A347" s="2" t="s">
        <v>639</v>
      </c>
      <c r="B347" s="16" t="s">
        <v>640</v>
      </c>
      <c r="C347" s="14" t="s">
        <v>20</v>
      </c>
      <c r="D347" s="6" t="s">
        <v>642</v>
      </c>
      <c r="E347" s="7">
        <v>10</v>
      </c>
      <c r="F347" s="3">
        <v>30</v>
      </c>
      <c r="G347" s="9">
        <v>100</v>
      </c>
      <c r="H347" s="10"/>
      <c r="I347" s="8"/>
      <c r="J347" s="9">
        <v>10</v>
      </c>
      <c r="K347" s="8"/>
      <c r="O347" s="9">
        <f>MAX(J347,G347,F347,E347)</f>
        <v>100</v>
      </c>
      <c r="Q347" s="11"/>
      <c r="R347" s="54" t="s">
        <v>609</v>
      </c>
    </row>
    <row r="348" spans="1:18">
      <c r="A348" s="2" t="s">
        <v>639</v>
      </c>
      <c r="B348" s="16" t="s">
        <v>640</v>
      </c>
      <c r="C348" s="14" t="s">
        <v>22</v>
      </c>
      <c r="D348" s="6" t="s">
        <v>643</v>
      </c>
      <c r="E348" s="7">
        <v>10</v>
      </c>
      <c r="F348" s="3">
        <v>30</v>
      </c>
      <c r="G348" s="9">
        <v>50</v>
      </c>
      <c r="H348" s="10"/>
      <c r="I348" s="8"/>
      <c r="J348" s="9">
        <v>10</v>
      </c>
      <c r="K348" s="8"/>
      <c r="L348" s="3">
        <v>1</v>
      </c>
      <c r="M348" s="3" t="s">
        <v>26</v>
      </c>
      <c r="O348" s="9">
        <f>MAX(J348,G348,F348,E348)</f>
        <v>50</v>
      </c>
      <c r="P348" s="10" t="str">
        <f>VLOOKUP($O348,codetabel!$A$1:$B$12,2,FALSE)</f>
        <v>3.1</v>
      </c>
      <c r="Q348" s="11"/>
      <c r="R348" s="54" t="str">
        <f t="shared" ref="R348:R379" si="17">IF(ISNA(P348),"",P348)</f>
        <v>3.1</v>
      </c>
    </row>
    <row r="349" spans="1:18">
      <c r="A349" s="2" t="s">
        <v>639</v>
      </c>
      <c r="B349" s="16" t="s">
        <v>640</v>
      </c>
      <c r="C349" s="14" t="s">
        <v>46</v>
      </c>
      <c r="D349" s="6" t="s">
        <v>644</v>
      </c>
      <c r="E349" s="7">
        <v>10</v>
      </c>
      <c r="F349" s="3">
        <v>30</v>
      </c>
      <c r="G349" s="9">
        <v>50</v>
      </c>
      <c r="H349" s="10"/>
      <c r="I349" s="8"/>
      <c r="J349" s="9">
        <v>10</v>
      </c>
      <c r="K349" s="8"/>
      <c r="L349" s="3">
        <v>1</v>
      </c>
      <c r="M349" s="3" t="s">
        <v>26</v>
      </c>
      <c r="O349" s="9">
        <f>MAX(J349,G349,F349,E349)</f>
        <v>50</v>
      </c>
      <c r="P349" s="10" t="str">
        <f>VLOOKUP($O349,codetabel!$A$1:$B$12,2,FALSE)</f>
        <v>3.1</v>
      </c>
      <c r="Q349" s="11"/>
      <c r="R349" s="54" t="str">
        <f t="shared" si="17"/>
        <v>3.1</v>
      </c>
    </row>
    <row r="350" spans="1:18">
      <c r="A350" s="2" t="s">
        <v>639</v>
      </c>
      <c r="B350" s="16" t="s">
        <v>640</v>
      </c>
      <c r="C350" s="14" t="s">
        <v>29</v>
      </c>
      <c r="D350" s="6" t="s">
        <v>645</v>
      </c>
      <c r="E350" s="7">
        <v>0</v>
      </c>
      <c r="F350" s="3">
        <v>10</v>
      </c>
      <c r="G350" s="9">
        <v>30</v>
      </c>
      <c r="H350" s="10"/>
      <c r="I350" s="8"/>
      <c r="J350" s="9">
        <v>10</v>
      </c>
      <c r="K350" s="8"/>
      <c r="O350" s="9">
        <f>MAX(J350,G350,F350,E350)</f>
        <v>30</v>
      </c>
      <c r="P350" s="10">
        <f>VLOOKUP($O350,codetabel!$A$1:$B$12,2,FALSE)</f>
        <v>2</v>
      </c>
      <c r="Q350" s="11"/>
      <c r="R350" s="54">
        <f t="shared" si="17"/>
        <v>2</v>
      </c>
    </row>
    <row r="351" spans="1:18">
      <c r="A351" s="2" t="s">
        <v>646</v>
      </c>
      <c r="B351" s="16" t="s">
        <v>647</v>
      </c>
      <c r="C351" s="14" t="s">
        <v>16</v>
      </c>
      <c r="D351" s="6" t="s">
        <v>169</v>
      </c>
      <c r="G351" s="9"/>
      <c r="H351" s="10"/>
      <c r="I351" s="8"/>
      <c r="J351" s="9"/>
      <c r="K351" s="8"/>
      <c r="P351" s="10" t="e">
        <f>VLOOKUP($O351,codetabel!$A$1:$B$12,2,FALSE)</f>
        <v>#N/A</v>
      </c>
      <c r="Q351" s="11"/>
      <c r="R351" s="54" t="str">
        <f t="shared" si="17"/>
        <v/>
      </c>
    </row>
    <row r="352" spans="1:18">
      <c r="A352" s="2" t="s">
        <v>646</v>
      </c>
      <c r="B352" s="16" t="s">
        <v>647</v>
      </c>
      <c r="C352" s="14" t="s">
        <v>16</v>
      </c>
      <c r="D352" s="6" t="s">
        <v>648</v>
      </c>
      <c r="G352" s="9"/>
      <c r="H352" s="10"/>
      <c r="I352" s="8"/>
      <c r="J352" s="9"/>
      <c r="K352" s="8"/>
      <c r="P352" s="10" t="e">
        <f>VLOOKUP($O352,codetabel!$A$1:$B$12,2,FALSE)</f>
        <v>#N/A</v>
      </c>
      <c r="Q352" s="11"/>
      <c r="R352" s="54" t="str">
        <f t="shared" si="17"/>
        <v/>
      </c>
    </row>
    <row r="353" spans="1:25">
      <c r="A353" s="2" t="s">
        <v>649</v>
      </c>
      <c r="B353" s="16" t="s">
        <v>650</v>
      </c>
      <c r="D353" s="6" t="s">
        <v>651</v>
      </c>
      <c r="E353" s="7">
        <v>10</v>
      </c>
      <c r="F353" s="3">
        <v>10</v>
      </c>
      <c r="G353" s="9">
        <v>100</v>
      </c>
      <c r="H353" s="10"/>
      <c r="I353" s="8"/>
      <c r="J353" s="9">
        <v>10</v>
      </c>
      <c r="K353" s="8"/>
      <c r="L353" s="3">
        <v>2</v>
      </c>
      <c r="M353" s="3" t="s">
        <v>26</v>
      </c>
      <c r="O353" s="9">
        <f>MAX(J353,G353,F353,E353)</f>
        <v>100</v>
      </c>
      <c r="P353" s="10" t="str">
        <f>VLOOKUP($O353,codetabel!$A$1:$B$12,2,FALSE)</f>
        <v>3.2</v>
      </c>
      <c r="Q353" s="11"/>
      <c r="R353" s="54" t="str">
        <f t="shared" si="17"/>
        <v>3.2</v>
      </c>
      <c r="X353" s="3" t="s">
        <v>35</v>
      </c>
      <c r="Y353" s="5"/>
    </row>
    <row r="354" spans="1:25">
      <c r="A354" s="2" t="s">
        <v>652</v>
      </c>
      <c r="B354" s="16" t="s">
        <v>653</v>
      </c>
      <c r="C354" s="14" t="s">
        <v>260</v>
      </c>
      <c r="D354" s="6" t="s">
        <v>654</v>
      </c>
      <c r="E354" s="7">
        <v>10</v>
      </c>
      <c r="F354" s="3">
        <v>30</v>
      </c>
      <c r="G354" s="9">
        <v>100</v>
      </c>
      <c r="H354" s="10"/>
      <c r="I354" s="8"/>
      <c r="J354" s="9">
        <v>10</v>
      </c>
      <c r="K354" s="8"/>
      <c r="L354" s="3">
        <v>1</v>
      </c>
      <c r="M354" s="3" t="s">
        <v>26</v>
      </c>
      <c r="O354" s="9">
        <f>MAX(J354,G354,F354,E354)</f>
        <v>100</v>
      </c>
      <c r="P354" s="10" t="str">
        <f>VLOOKUP($O354,codetabel!$A$1:$B$12,2,FALSE)</f>
        <v>3.2</v>
      </c>
      <c r="Q354" s="11"/>
      <c r="R354" s="54" t="str">
        <f t="shared" si="17"/>
        <v>3.2</v>
      </c>
    </row>
    <row r="355" spans="1:25">
      <c r="A355" s="2" t="s">
        <v>652</v>
      </c>
      <c r="B355" s="16" t="s">
        <v>653</v>
      </c>
      <c r="C355" s="14" t="s">
        <v>24</v>
      </c>
      <c r="D355" s="6" t="s">
        <v>655</v>
      </c>
      <c r="E355" s="7">
        <v>50</v>
      </c>
      <c r="F355" s="3">
        <v>30</v>
      </c>
      <c r="G355" s="9">
        <v>30</v>
      </c>
      <c r="H355" s="10"/>
      <c r="I355" s="8"/>
      <c r="J355" s="9">
        <v>30</v>
      </c>
      <c r="K355" s="8" t="s">
        <v>25</v>
      </c>
      <c r="L355" s="3">
        <v>1</v>
      </c>
      <c r="M355" s="3" t="s">
        <v>26</v>
      </c>
      <c r="O355" s="9">
        <f>MAX(J355,G355,F355,E355)</f>
        <v>50</v>
      </c>
      <c r="P355" s="10" t="str">
        <f>VLOOKUP($O355,codetabel!$A$1:$B$12,2,FALSE)</f>
        <v>3.1</v>
      </c>
      <c r="Q355" s="11"/>
      <c r="R355" s="54" t="str">
        <f t="shared" si="17"/>
        <v>3.1</v>
      </c>
    </row>
    <row r="356" spans="1:25">
      <c r="A356" s="2" t="s">
        <v>656</v>
      </c>
      <c r="B356" s="16" t="s">
        <v>657</v>
      </c>
      <c r="C356" s="14" t="s">
        <v>16</v>
      </c>
      <c r="D356" s="6" t="s">
        <v>169</v>
      </c>
      <c r="G356" s="9"/>
      <c r="H356" s="10"/>
      <c r="I356" s="8"/>
      <c r="J356" s="9"/>
      <c r="K356" s="8"/>
      <c r="P356" s="10" t="e">
        <f>VLOOKUP($O356,codetabel!$A$1:$B$12,2,FALSE)</f>
        <v>#N/A</v>
      </c>
      <c r="Q356" s="11"/>
      <c r="R356" s="54" t="str">
        <f t="shared" si="17"/>
        <v/>
      </c>
    </row>
    <row r="357" spans="1:25">
      <c r="A357" s="2" t="s">
        <v>656</v>
      </c>
      <c r="B357" s="16" t="s">
        <v>657</v>
      </c>
      <c r="C357" s="14" t="s">
        <v>16</v>
      </c>
      <c r="D357" s="6" t="s">
        <v>658</v>
      </c>
      <c r="G357" s="9"/>
      <c r="H357" s="10"/>
      <c r="I357" s="8"/>
      <c r="J357" s="9"/>
      <c r="K357" s="8"/>
      <c r="P357" s="10" t="e">
        <f>VLOOKUP($O357,codetabel!$A$1:$B$12,2,FALSE)</f>
        <v>#N/A</v>
      </c>
      <c r="Q357" s="11"/>
      <c r="R357" s="54" t="str">
        <f t="shared" si="17"/>
        <v/>
      </c>
    </row>
    <row r="358" spans="1:25">
      <c r="A358" s="2" t="s">
        <v>659</v>
      </c>
      <c r="B358" s="16" t="s">
        <v>660</v>
      </c>
      <c r="C358" s="14" t="s">
        <v>20</v>
      </c>
      <c r="D358" s="6" t="s">
        <v>661</v>
      </c>
      <c r="E358" s="7">
        <v>30</v>
      </c>
      <c r="F358" s="3">
        <v>30</v>
      </c>
      <c r="G358" s="9">
        <v>50</v>
      </c>
      <c r="H358" s="10"/>
      <c r="I358" s="8"/>
      <c r="J358" s="9">
        <v>30</v>
      </c>
      <c r="K358" s="8" t="s">
        <v>25</v>
      </c>
      <c r="L358" s="3">
        <v>2</v>
      </c>
      <c r="M358" s="3" t="s">
        <v>26</v>
      </c>
      <c r="O358" s="9">
        <f t="shared" ref="O358:O370" si="18">MAX(J358,G358,F358,E358)</f>
        <v>50</v>
      </c>
      <c r="P358" s="10" t="str">
        <f>VLOOKUP($O358,codetabel!$A$1:$B$12,2,FALSE)</f>
        <v>3.1</v>
      </c>
      <c r="Q358" s="11"/>
      <c r="R358" s="54" t="str">
        <f t="shared" si="17"/>
        <v>3.1</v>
      </c>
    </row>
    <row r="359" spans="1:25" ht="22.5">
      <c r="A359" s="2" t="s">
        <v>659</v>
      </c>
      <c r="B359" s="16" t="s">
        <v>660</v>
      </c>
      <c r="C359" s="14" t="s">
        <v>22</v>
      </c>
      <c r="D359" s="6" t="s">
        <v>662</v>
      </c>
      <c r="E359" s="7">
        <v>100</v>
      </c>
      <c r="F359" s="3">
        <v>100</v>
      </c>
      <c r="G359" s="9">
        <v>300</v>
      </c>
      <c r="H359" s="10"/>
      <c r="I359" s="8" t="s">
        <v>70</v>
      </c>
      <c r="J359" s="9">
        <v>50</v>
      </c>
      <c r="K359" s="8" t="s">
        <v>25</v>
      </c>
      <c r="L359" s="3">
        <v>2</v>
      </c>
      <c r="M359" s="3" t="s">
        <v>26</v>
      </c>
      <c r="O359" s="9">
        <f t="shared" si="18"/>
        <v>300</v>
      </c>
      <c r="P359" s="10" t="str">
        <f>VLOOKUP($O359,codetabel!$A$1:$B$12,2,FALSE)</f>
        <v>4.2</v>
      </c>
      <c r="Q359" s="11"/>
      <c r="R359" s="54" t="str">
        <f t="shared" si="17"/>
        <v>4.2</v>
      </c>
      <c r="X359" s="3" t="s">
        <v>35</v>
      </c>
      <c r="Y359" s="5"/>
    </row>
    <row r="360" spans="1:25">
      <c r="A360" s="2" t="s">
        <v>663</v>
      </c>
      <c r="B360" s="16" t="s">
        <v>664</v>
      </c>
      <c r="D360" s="6" t="s">
        <v>665</v>
      </c>
      <c r="E360" s="7">
        <v>10</v>
      </c>
      <c r="F360" s="3">
        <v>10</v>
      </c>
      <c r="G360" s="9">
        <v>30</v>
      </c>
      <c r="H360" s="10"/>
      <c r="I360" s="8"/>
      <c r="J360" s="9">
        <v>0</v>
      </c>
      <c r="K360" s="8"/>
      <c r="L360" s="3">
        <v>2</v>
      </c>
      <c r="M360" s="3" t="s">
        <v>26</v>
      </c>
      <c r="O360" s="9">
        <f t="shared" si="18"/>
        <v>30</v>
      </c>
      <c r="P360" s="10">
        <f>VLOOKUP($O360,codetabel!$A$1:$B$12,2,FALSE)</f>
        <v>2</v>
      </c>
      <c r="Q360" s="11"/>
      <c r="R360" s="54">
        <f t="shared" si="17"/>
        <v>2</v>
      </c>
    </row>
    <row r="361" spans="1:25">
      <c r="A361" s="2" t="s">
        <v>666</v>
      </c>
      <c r="B361" s="16" t="s">
        <v>667</v>
      </c>
      <c r="D361" s="6" t="s">
        <v>668</v>
      </c>
      <c r="E361" s="7">
        <v>50</v>
      </c>
      <c r="F361" s="3">
        <v>10</v>
      </c>
      <c r="G361" s="9">
        <v>100</v>
      </c>
      <c r="H361" s="10" t="s">
        <v>24</v>
      </c>
      <c r="I361" s="8"/>
      <c r="J361" s="9">
        <v>0</v>
      </c>
      <c r="K361" s="8"/>
      <c r="L361" s="3">
        <v>2</v>
      </c>
      <c r="M361" s="3" t="s">
        <v>26</v>
      </c>
      <c r="O361" s="9">
        <f t="shared" si="18"/>
        <v>100</v>
      </c>
      <c r="P361" s="10" t="str">
        <f>VLOOKUP($O361,codetabel!$A$1:$B$12,2,FALSE)</f>
        <v>3.2</v>
      </c>
      <c r="Q361" s="11"/>
      <c r="R361" s="54" t="str">
        <f t="shared" si="17"/>
        <v>3.2</v>
      </c>
    </row>
    <row r="362" spans="1:25">
      <c r="A362" s="2" t="s">
        <v>669</v>
      </c>
      <c r="B362" s="16" t="s">
        <v>670</v>
      </c>
      <c r="D362" s="6" t="s">
        <v>671</v>
      </c>
      <c r="E362" s="7">
        <v>50</v>
      </c>
      <c r="F362" s="3">
        <v>0</v>
      </c>
      <c r="G362" s="9">
        <v>30</v>
      </c>
      <c r="H362" s="10"/>
      <c r="I362" s="8"/>
      <c r="J362" s="9">
        <v>0</v>
      </c>
      <c r="K362" s="8"/>
      <c r="L362" s="3">
        <v>2</v>
      </c>
      <c r="M362" s="3" t="s">
        <v>26</v>
      </c>
      <c r="O362" s="9">
        <f t="shared" si="18"/>
        <v>50</v>
      </c>
      <c r="P362" s="10" t="str">
        <f>VLOOKUP($O362,codetabel!$A$1:$B$12,2,FALSE)</f>
        <v>3.1</v>
      </c>
      <c r="Q362" s="11"/>
      <c r="R362" s="54" t="str">
        <f t="shared" si="17"/>
        <v>3.1</v>
      </c>
    </row>
    <row r="363" spans="1:25">
      <c r="A363" s="2" t="s">
        <v>672</v>
      </c>
      <c r="B363" s="16" t="s">
        <v>673</v>
      </c>
      <c r="D363" s="6" t="s">
        <v>674</v>
      </c>
      <c r="E363" s="7">
        <v>30</v>
      </c>
      <c r="F363" s="3">
        <v>10</v>
      </c>
      <c r="G363" s="9">
        <v>30</v>
      </c>
      <c r="H363" s="10"/>
      <c r="I363" s="8"/>
      <c r="J363" s="9">
        <v>50</v>
      </c>
      <c r="K363" s="8" t="s">
        <v>25</v>
      </c>
      <c r="L363" s="3">
        <v>2</v>
      </c>
      <c r="M363" s="3" t="s">
        <v>26</v>
      </c>
      <c r="O363" s="9">
        <f t="shared" si="18"/>
        <v>50</v>
      </c>
      <c r="P363" s="10" t="str">
        <f>VLOOKUP($O363,codetabel!$A$1:$B$12,2,FALSE)</f>
        <v>3.1</v>
      </c>
      <c r="Q363" s="11"/>
      <c r="R363" s="54" t="str">
        <f t="shared" si="17"/>
        <v>3.1</v>
      </c>
    </row>
    <row r="364" spans="1:25">
      <c r="A364" s="2" t="s">
        <v>675</v>
      </c>
      <c r="B364" s="16" t="s">
        <v>676</v>
      </c>
      <c r="D364" s="6" t="s">
        <v>677</v>
      </c>
      <c r="E364" s="7">
        <v>10</v>
      </c>
      <c r="F364" s="3">
        <v>0</v>
      </c>
      <c r="G364" s="9">
        <v>30</v>
      </c>
      <c r="H364" s="10"/>
      <c r="I364" s="8"/>
      <c r="J364" s="9">
        <v>50</v>
      </c>
      <c r="K364" s="8" t="s">
        <v>25</v>
      </c>
      <c r="L364" s="3">
        <v>2</v>
      </c>
      <c r="M364" s="3" t="s">
        <v>26</v>
      </c>
      <c r="O364" s="9">
        <f t="shared" si="18"/>
        <v>50</v>
      </c>
      <c r="P364" s="10" t="str">
        <f>VLOOKUP($O364,codetabel!$A$1:$B$12,2,FALSE)</f>
        <v>3.1</v>
      </c>
      <c r="Q364" s="11"/>
      <c r="R364" s="54" t="str">
        <f t="shared" si="17"/>
        <v>3.1</v>
      </c>
    </row>
    <row r="365" spans="1:25">
      <c r="A365" s="2" t="s">
        <v>678</v>
      </c>
      <c r="B365" s="16" t="s">
        <v>679</v>
      </c>
      <c r="D365" s="6" t="s">
        <v>680</v>
      </c>
      <c r="E365" s="7">
        <v>0</v>
      </c>
      <c r="F365" s="3">
        <v>0</v>
      </c>
      <c r="G365" s="9">
        <v>30</v>
      </c>
      <c r="H365" s="10"/>
      <c r="I365" s="8"/>
      <c r="J365" s="9">
        <v>0</v>
      </c>
      <c r="K365" s="8"/>
      <c r="L365" s="3">
        <v>2</v>
      </c>
      <c r="M365" s="3" t="s">
        <v>26</v>
      </c>
      <c r="O365" s="9">
        <f t="shared" si="18"/>
        <v>30</v>
      </c>
      <c r="P365" s="10">
        <f>VLOOKUP($O365,codetabel!$A$1:$B$12,2,FALSE)</f>
        <v>2</v>
      </c>
      <c r="Q365" s="11"/>
      <c r="R365" s="54">
        <f t="shared" si="17"/>
        <v>2</v>
      </c>
    </row>
    <row r="366" spans="1:25">
      <c r="A366" s="2" t="s">
        <v>681</v>
      </c>
      <c r="B366" s="16" t="s">
        <v>682</v>
      </c>
      <c r="D366" s="6" t="s">
        <v>683</v>
      </c>
      <c r="E366" s="7">
        <v>10</v>
      </c>
      <c r="F366" s="3">
        <v>0</v>
      </c>
      <c r="G366" s="9">
        <v>30</v>
      </c>
      <c r="H366" s="10"/>
      <c r="I366" s="8"/>
      <c r="J366" s="9">
        <v>0</v>
      </c>
      <c r="K366" s="8"/>
      <c r="L366" s="3">
        <v>2</v>
      </c>
      <c r="M366" s="3" t="s">
        <v>26</v>
      </c>
      <c r="O366" s="9">
        <f t="shared" si="18"/>
        <v>30</v>
      </c>
      <c r="P366" s="10">
        <f>VLOOKUP($O366,codetabel!$A$1:$B$12,2,FALSE)</f>
        <v>2</v>
      </c>
      <c r="Q366" s="11"/>
      <c r="R366" s="54">
        <f t="shared" si="17"/>
        <v>2</v>
      </c>
    </row>
    <row r="367" spans="1:25">
      <c r="A367" s="2" t="s">
        <v>684</v>
      </c>
      <c r="B367" s="16" t="s">
        <v>685</v>
      </c>
      <c r="D367" s="6" t="s">
        <v>686</v>
      </c>
      <c r="E367" s="7">
        <v>10</v>
      </c>
      <c r="F367" s="3">
        <v>10</v>
      </c>
      <c r="G367" s="9">
        <v>30</v>
      </c>
      <c r="H367" s="10"/>
      <c r="I367" s="8"/>
      <c r="J367" s="9">
        <v>0</v>
      </c>
      <c r="K367" s="8"/>
      <c r="L367" s="3">
        <v>2</v>
      </c>
      <c r="M367" s="3" t="s">
        <v>26</v>
      </c>
      <c r="O367" s="9">
        <f t="shared" si="18"/>
        <v>30</v>
      </c>
      <c r="P367" s="10">
        <f>VLOOKUP($O367,codetabel!$A$1:$B$12,2,FALSE)</f>
        <v>2</v>
      </c>
      <c r="Q367" s="11"/>
      <c r="R367" s="54">
        <f t="shared" si="17"/>
        <v>2</v>
      </c>
    </row>
    <row r="368" spans="1:25">
      <c r="A368" s="2" t="s">
        <v>687</v>
      </c>
      <c r="B368" s="16" t="s">
        <v>688</v>
      </c>
      <c r="D368" s="6" t="s">
        <v>689</v>
      </c>
      <c r="E368" s="7">
        <v>30</v>
      </c>
      <c r="F368" s="3">
        <v>10</v>
      </c>
      <c r="G368" s="9">
        <v>30</v>
      </c>
      <c r="H368" s="10"/>
      <c r="I368" s="8"/>
      <c r="J368" s="9">
        <v>0</v>
      </c>
      <c r="K368" s="8"/>
      <c r="L368" s="3">
        <v>2</v>
      </c>
      <c r="M368" s="3" t="s">
        <v>26</v>
      </c>
      <c r="O368" s="9">
        <f t="shared" si="18"/>
        <v>30</v>
      </c>
      <c r="P368" s="10">
        <f>VLOOKUP($O368,codetabel!$A$1:$B$12,2,FALSE)</f>
        <v>2</v>
      </c>
      <c r="Q368" s="11"/>
      <c r="R368" s="54">
        <f t="shared" si="17"/>
        <v>2</v>
      </c>
    </row>
    <row r="369" spans="1:25">
      <c r="A369" s="2" t="s">
        <v>690</v>
      </c>
      <c r="B369" s="16" t="s">
        <v>691</v>
      </c>
      <c r="D369" s="6" t="s">
        <v>692</v>
      </c>
      <c r="E369" s="7">
        <v>10</v>
      </c>
      <c r="F369" s="3">
        <v>10</v>
      </c>
      <c r="G369" s="9">
        <v>30</v>
      </c>
      <c r="H369" s="10"/>
      <c r="I369" s="8"/>
      <c r="J369" s="9">
        <v>10</v>
      </c>
      <c r="K369" s="8"/>
      <c r="L369" s="3">
        <v>2</v>
      </c>
      <c r="M369" s="3" t="s">
        <v>26</v>
      </c>
      <c r="O369" s="9">
        <f t="shared" si="18"/>
        <v>30</v>
      </c>
      <c r="P369" s="10">
        <f>VLOOKUP($O369,codetabel!$A$1:$B$12,2,FALSE)</f>
        <v>2</v>
      </c>
      <c r="Q369" s="11"/>
      <c r="R369" s="54">
        <f t="shared" si="17"/>
        <v>2</v>
      </c>
    </row>
    <row r="370" spans="1:25">
      <c r="A370" s="2" t="s">
        <v>693</v>
      </c>
      <c r="B370" s="16" t="s">
        <v>694</v>
      </c>
      <c r="D370" s="6" t="s">
        <v>695</v>
      </c>
      <c r="E370" s="7">
        <v>10</v>
      </c>
      <c r="F370" s="3">
        <v>10</v>
      </c>
      <c r="G370" s="9">
        <v>30</v>
      </c>
      <c r="H370" s="10"/>
      <c r="I370" s="8"/>
      <c r="J370" s="9">
        <v>10</v>
      </c>
      <c r="K370" s="8"/>
      <c r="L370" s="3">
        <v>2</v>
      </c>
      <c r="M370" s="3" t="s">
        <v>26</v>
      </c>
      <c r="O370" s="9">
        <f t="shared" si="18"/>
        <v>30</v>
      </c>
      <c r="P370" s="10">
        <f>VLOOKUP($O370,codetabel!$A$1:$B$12,2,FALSE)</f>
        <v>2</v>
      </c>
      <c r="Q370" s="11"/>
      <c r="R370" s="54">
        <f t="shared" si="17"/>
        <v>2</v>
      </c>
    </row>
    <row r="371" spans="1:25">
      <c r="A371" s="2" t="s">
        <v>696</v>
      </c>
      <c r="B371" s="16" t="s">
        <v>697</v>
      </c>
      <c r="C371" s="14" t="s">
        <v>20</v>
      </c>
      <c r="D371" s="6" t="s">
        <v>698</v>
      </c>
      <c r="G371" s="9"/>
      <c r="H371" s="10"/>
      <c r="I371" s="8"/>
      <c r="J371" s="9"/>
      <c r="K371" s="8"/>
      <c r="P371" s="10" t="e">
        <f>VLOOKUP($O371,codetabel!$A$1:$B$12,2,FALSE)</f>
        <v>#N/A</v>
      </c>
      <c r="Q371" s="11"/>
      <c r="R371" s="54" t="str">
        <f t="shared" si="17"/>
        <v/>
      </c>
    </row>
    <row r="372" spans="1:25">
      <c r="A372" s="2" t="s">
        <v>696</v>
      </c>
      <c r="B372" s="16" t="s">
        <v>697</v>
      </c>
      <c r="C372" s="14" t="s">
        <v>22</v>
      </c>
      <c r="D372" s="6" t="s">
        <v>699</v>
      </c>
      <c r="E372" s="7">
        <v>10</v>
      </c>
      <c r="F372" s="3">
        <v>0</v>
      </c>
      <c r="G372" s="9">
        <v>30</v>
      </c>
      <c r="H372" s="10"/>
      <c r="I372" s="8"/>
      <c r="J372" s="9">
        <v>10</v>
      </c>
      <c r="K372" s="8" t="s">
        <v>700</v>
      </c>
      <c r="L372" s="3">
        <v>2</v>
      </c>
      <c r="M372" s="3" t="s">
        <v>26</v>
      </c>
      <c r="O372" s="9">
        <f>MAX(J372,G372,F372,E372)</f>
        <v>30</v>
      </c>
      <c r="P372" s="10">
        <f>VLOOKUP($O372,codetabel!$A$1:$B$12,2,FALSE)</f>
        <v>2</v>
      </c>
      <c r="Q372" s="11"/>
      <c r="R372" s="54">
        <f t="shared" si="17"/>
        <v>2</v>
      </c>
      <c r="X372" s="3" t="s">
        <v>35</v>
      </c>
    </row>
    <row r="373" spans="1:25">
      <c r="A373" s="2" t="s">
        <v>696</v>
      </c>
      <c r="B373" s="16" t="s">
        <v>697</v>
      </c>
      <c r="C373" s="14" t="s">
        <v>46</v>
      </c>
      <c r="D373" s="6" t="s">
        <v>701</v>
      </c>
      <c r="E373" s="7">
        <v>10</v>
      </c>
      <c r="F373" s="3">
        <v>0</v>
      </c>
      <c r="G373" s="9">
        <v>30</v>
      </c>
      <c r="H373" s="10"/>
      <c r="I373" s="8"/>
      <c r="J373" s="9">
        <v>50</v>
      </c>
      <c r="K373" s="8" t="s">
        <v>700</v>
      </c>
      <c r="L373" s="3">
        <v>2</v>
      </c>
      <c r="M373" s="3" t="s">
        <v>26</v>
      </c>
      <c r="O373" s="9">
        <f>MAX(J373,G373,F373,E373)</f>
        <v>50</v>
      </c>
      <c r="P373" s="10" t="str">
        <f>VLOOKUP($O373,codetabel!$A$1:$B$12,2,FALSE)</f>
        <v>3.1</v>
      </c>
      <c r="Q373" s="11"/>
      <c r="R373" s="54" t="str">
        <f t="shared" si="17"/>
        <v>3.1</v>
      </c>
      <c r="X373" s="3" t="s">
        <v>35</v>
      </c>
    </row>
    <row r="374" spans="1:25">
      <c r="A374" s="2" t="s">
        <v>696</v>
      </c>
      <c r="B374" s="16" t="s">
        <v>697</v>
      </c>
      <c r="C374" s="14" t="s">
        <v>33</v>
      </c>
      <c r="D374" s="6" t="s">
        <v>702</v>
      </c>
      <c r="E374" s="7">
        <v>0</v>
      </c>
      <c r="F374" s="3">
        <v>0</v>
      </c>
      <c r="G374" s="9">
        <v>30</v>
      </c>
      <c r="H374" s="10"/>
      <c r="I374" s="8"/>
      <c r="J374" s="9">
        <v>30</v>
      </c>
      <c r="K374" s="8"/>
      <c r="L374" s="3">
        <v>1</v>
      </c>
      <c r="M374" s="3" t="s">
        <v>26</v>
      </c>
      <c r="O374" s="9">
        <f>MAX(J374,G374,F374,E374)</f>
        <v>30</v>
      </c>
      <c r="P374" s="10">
        <f>VLOOKUP($O374,codetabel!$A$1:$B$12,2,FALSE)</f>
        <v>2</v>
      </c>
      <c r="Q374" s="11"/>
      <c r="R374" s="54">
        <f t="shared" si="17"/>
        <v>2</v>
      </c>
      <c r="X374" s="3" t="s">
        <v>35</v>
      </c>
      <c r="Y374" s="5"/>
    </row>
    <row r="375" spans="1:25">
      <c r="A375" s="2" t="s">
        <v>703</v>
      </c>
      <c r="B375" s="16" t="s">
        <v>704</v>
      </c>
      <c r="C375" s="14" t="s">
        <v>20</v>
      </c>
      <c r="D375" s="6" t="s">
        <v>705</v>
      </c>
      <c r="G375" s="9"/>
      <c r="H375" s="10"/>
      <c r="I375" s="8"/>
      <c r="J375" s="9"/>
      <c r="K375" s="8"/>
      <c r="P375" s="10" t="e">
        <f>VLOOKUP($O375,codetabel!$A$1:$B$12,2,FALSE)</f>
        <v>#N/A</v>
      </c>
      <c r="Q375" s="11"/>
      <c r="R375" s="54" t="str">
        <f t="shared" si="17"/>
        <v/>
      </c>
    </row>
    <row r="376" spans="1:25">
      <c r="A376" s="2" t="s">
        <v>703</v>
      </c>
      <c r="B376" s="16" t="s">
        <v>704</v>
      </c>
      <c r="C376" s="14" t="s">
        <v>22</v>
      </c>
      <c r="D376" s="6" t="s">
        <v>706</v>
      </c>
      <c r="E376" s="7">
        <v>10</v>
      </c>
      <c r="F376" s="3">
        <v>50</v>
      </c>
      <c r="G376" s="9">
        <v>50</v>
      </c>
      <c r="H376" s="10"/>
      <c r="I376" s="8"/>
      <c r="J376" s="9">
        <v>30</v>
      </c>
      <c r="K376" s="8"/>
      <c r="L376" s="3">
        <v>2</v>
      </c>
      <c r="M376" s="3" t="s">
        <v>589</v>
      </c>
      <c r="O376" s="9">
        <f>MAX(J376,G376,F376,E376)</f>
        <v>50</v>
      </c>
      <c r="P376" s="10" t="str">
        <f>VLOOKUP($O376,codetabel!$A$1:$B$12,2,FALSE)</f>
        <v>3.1</v>
      </c>
      <c r="Q376" s="11"/>
      <c r="R376" s="54" t="str">
        <f t="shared" si="17"/>
        <v>3.1</v>
      </c>
    </row>
    <row r="377" spans="1:25">
      <c r="A377" s="2" t="s">
        <v>707</v>
      </c>
      <c r="B377" s="16" t="s">
        <v>708</v>
      </c>
      <c r="C377" s="14" t="s">
        <v>20</v>
      </c>
      <c r="D377" s="6" t="s">
        <v>709</v>
      </c>
      <c r="G377" s="9"/>
      <c r="H377" s="10"/>
      <c r="I377" s="8"/>
      <c r="J377" s="9"/>
      <c r="K377" s="8"/>
      <c r="P377" s="10" t="e">
        <f>VLOOKUP($O377,codetabel!$A$1:$B$12,2,FALSE)</f>
        <v>#N/A</v>
      </c>
      <c r="Q377" s="11"/>
      <c r="R377" s="54" t="str">
        <f t="shared" si="17"/>
        <v/>
      </c>
    </row>
    <row r="378" spans="1:25">
      <c r="A378" s="2" t="s">
        <v>707</v>
      </c>
      <c r="B378" s="16" t="s">
        <v>708</v>
      </c>
      <c r="C378" s="14" t="s">
        <v>22</v>
      </c>
      <c r="D378" s="6" t="s">
        <v>710</v>
      </c>
      <c r="E378" s="7">
        <v>50</v>
      </c>
      <c r="F378" s="3">
        <v>0</v>
      </c>
      <c r="G378" s="9">
        <v>50</v>
      </c>
      <c r="H378" s="10"/>
      <c r="I378" s="8"/>
      <c r="J378" s="9">
        <v>200</v>
      </c>
      <c r="K378" s="8" t="s">
        <v>25</v>
      </c>
      <c r="L378" s="3">
        <v>2</v>
      </c>
      <c r="M378" s="3" t="s">
        <v>26</v>
      </c>
      <c r="O378" s="9">
        <f>MAX(J378,G378,F378,E378)</f>
        <v>200</v>
      </c>
      <c r="P378" s="10" t="str">
        <f>VLOOKUP($O378,codetabel!$A$1:$B$12,2,FALSE)</f>
        <v>4.1</v>
      </c>
      <c r="Q378" s="11" t="s">
        <v>27</v>
      </c>
      <c r="R378" s="54" t="str">
        <f t="shared" si="17"/>
        <v>4.1</v>
      </c>
    </row>
    <row r="379" spans="1:25">
      <c r="A379" s="2" t="s">
        <v>707</v>
      </c>
      <c r="B379" s="16" t="s">
        <v>708</v>
      </c>
      <c r="C379" s="14" t="s">
        <v>29</v>
      </c>
      <c r="D379" s="6" t="s">
        <v>711</v>
      </c>
      <c r="E379" s="7">
        <v>50</v>
      </c>
      <c r="F379" s="3">
        <v>0</v>
      </c>
      <c r="G379" s="9">
        <v>50</v>
      </c>
      <c r="H379" s="10"/>
      <c r="I379" s="8"/>
      <c r="J379" s="9">
        <v>300</v>
      </c>
      <c r="K379" s="8" t="s">
        <v>25</v>
      </c>
      <c r="L379" s="3">
        <v>2</v>
      </c>
      <c r="M379" s="3" t="s">
        <v>26</v>
      </c>
      <c r="O379" s="9">
        <f>MAX(J379,G379,F379,E379)</f>
        <v>300</v>
      </c>
      <c r="P379" s="10" t="str">
        <f>VLOOKUP($O379,codetabel!$A$1:$B$12,2,FALSE)</f>
        <v>4.2</v>
      </c>
      <c r="Q379" s="11" t="s">
        <v>27</v>
      </c>
      <c r="R379" s="54" t="str">
        <f t="shared" si="17"/>
        <v>4.2</v>
      </c>
    </row>
    <row r="380" spans="1:25">
      <c r="A380" s="2" t="s">
        <v>712</v>
      </c>
      <c r="B380" s="16" t="s">
        <v>713</v>
      </c>
      <c r="D380" s="6" t="s">
        <v>714</v>
      </c>
      <c r="E380" s="7">
        <v>100</v>
      </c>
      <c r="F380" s="3">
        <v>0</v>
      </c>
      <c r="G380" s="9">
        <v>30</v>
      </c>
      <c r="H380" s="10"/>
      <c r="I380" s="8"/>
      <c r="J380" s="9">
        <v>50</v>
      </c>
      <c r="K380" s="8"/>
      <c r="L380" s="3">
        <v>2</v>
      </c>
      <c r="M380" s="3" t="s">
        <v>26</v>
      </c>
      <c r="O380" s="9">
        <f>MAX(J380,G380,F380,E380)</f>
        <v>100</v>
      </c>
      <c r="P380" s="10" t="str">
        <f>VLOOKUP($O380,codetabel!$A$1:$B$12,2,FALSE)</f>
        <v>3.2</v>
      </c>
      <c r="Q380" s="11"/>
      <c r="R380" s="54" t="str">
        <f t="shared" ref="R380:R411" si="19">IF(ISNA(P380),"",P380)</f>
        <v>3.2</v>
      </c>
    </row>
    <row r="381" spans="1:25">
      <c r="A381" s="2" t="s">
        <v>715</v>
      </c>
      <c r="B381" s="16" t="s">
        <v>716</v>
      </c>
      <c r="C381" s="14" t="s">
        <v>20</v>
      </c>
      <c r="D381" s="6" t="s">
        <v>717</v>
      </c>
      <c r="G381" s="9"/>
      <c r="H381" s="10"/>
      <c r="I381" s="8"/>
      <c r="J381" s="9"/>
      <c r="K381" s="8"/>
      <c r="P381" s="10" t="e">
        <f>VLOOKUP($O381,codetabel!$A$1:$B$12,2,FALSE)</f>
        <v>#N/A</v>
      </c>
      <c r="Q381" s="11"/>
      <c r="R381" s="54" t="str">
        <f t="shared" si="19"/>
        <v/>
      </c>
    </row>
    <row r="382" spans="1:25">
      <c r="A382" s="2" t="s">
        <v>715</v>
      </c>
      <c r="B382" s="16" t="s">
        <v>716</v>
      </c>
      <c r="C382" s="14" t="s">
        <v>22</v>
      </c>
      <c r="D382" s="6" t="s">
        <v>718</v>
      </c>
      <c r="E382" s="7">
        <v>30</v>
      </c>
      <c r="F382" s="3">
        <v>300</v>
      </c>
      <c r="G382" s="9">
        <v>300</v>
      </c>
      <c r="H382" s="10"/>
      <c r="I382" s="8"/>
      <c r="J382" s="9">
        <v>10</v>
      </c>
      <c r="K382" s="8"/>
      <c r="L382" s="3">
        <v>3</v>
      </c>
      <c r="M382" s="3" t="s">
        <v>26</v>
      </c>
      <c r="O382" s="9">
        <f>MAX(J382,G382,F382,E382)</f>
        <v>300</v>
      </c>
      <c r="P382" s="10" t="str">
        <f>VLOOKUP($O382,codetabel!$A$1:$B$12,2,FALSE)</f>
        <v>4.2</v>
      </c>
      <c r="Q382" s="11"/>
      <c r="R382" s="54" t="str">
        <f t="shared" si="19"/>
        <v>4.2</v>
      </c>
    </row>
    <row r="383" spans="1:25">
      <c r="A383" s="2" t="s">
        <v>719</v>
      </c>
      <c r="B383" s="16" t="s">
        <v>720</v>
      </c>
      <c r="D383" s="6" t="s">
        <v>721</v>
      </c>
      <c r="E383" s="7">
        <v>0</v>
      </c>
      <c r="F383" s="3">
        <v>10</v>
      </c>
      <c r="G383" s="9">
        <v>100</v>
      </c>
      <c r="H383" s="10"/>
      <c r="I383" s="8"/>
      <c r="J383" s="9">
        <v>10</v>
      </c>
      <c r="K383" s="8"/>
      <c r="L383" s="3">
        <v>2</v>
      </c>
      <c r="M383" s="3" t="s">
        <v>26</v>
      </c>
      <c r="O383" s="9">
        <f>MAX(J383,G383,F383,E383)</f>
        <v>100</v>
      </c>
      <c r="P383" s="10" t="str">
        <f>VLOOKUP($O383,codetabel!$A$1:$B$12,2,FALSE)</f>
        <v>3.2</v>
      </c>
      <c r="Q383" s="11"/>
      <c r="R383" s="54" t="str">
        <f t="shared" si="19"/>
        <v>3.2</v>
      </c>
    </row>
    <row r="384" spans="1:25">
      <c r="A384" s="2" t="s">
        <v>722</v>
      </c>
      <c r="B384" s="16" t="s">
        <v>723</v>
      </c>
      <c r="C384" s="14" t="s">
        <v>20</v>
      </c>
      <c r="D384" s="6" t="s">
        <v>724</v>
      </c>
      <c r="G384" s="9"/>
      <c r="H384" s="10"/>
      <c r="I384" s="8"/>
      <c r="J384" s="9"/>
      <c r="K384" s="8"/>
      <c r="P384" s="10" t="e">
        <f>VLOOKUP($O384,codetabel!$A$1:$B$12,2,FALSE)</f>
        <v>#N/A</v>
      </c>
      <c r="Q384" s="11"/>
      <c r="R384" s="54" t="str">
        <f t="shared" si="19"/>
        <v/>
      </c>
      <c r="Y384" s="5"/>
    </row>
    <row r="385" spans="1:25">
      <c r="A385" s="2" t="s">
        <v>722</v>
      </c>
      <c r="B385" s="16" t="s">
        <v>723</v>
      </c>
      <c r="C385" s="14" t="s">
        <v>22</v>
      </c>
      <c r="D385" s="6" t="s">
        <v>725</v>
      </c>
      <c r="E385" s="7">
        <v>0</v>
      </c>
      <c r="F385" s="3">
        <v>10</v>
      </c>
      <c r="G385" s="9">
        <v>50</v>
      </c>
      <c r="H385" s="10"/>
      <c r="I385" s="8"/>
      <c r="J385" s="9">
        <v>10</v>
      </c>
      <c r="K385" s="8"/>
      <c r="L385" s="3">
        <v>2</v>
      </c>
      <c r="M385" s="3" t="s">
        <v>26</v>
      </c>
      <c r="O385" s="9">
        <f>MAX(J385,G385,F385,E385)</f>
        <v>50</v>
      </c>
      <c r="P385" s="10" t="str">
        <f>VLOOKUP($O385,codetabel!$A$1:$B$12,2,FALSE)</f>
        <v>3.1</v>
      </c>
      <c r="Q385" s="11"/>
      <c r="R385" s="54" t="str">
        <f t="shared" si="19"/>
        <v>3.1</v>
      </c>
    </row>
    <row r="386" spans="1:25">
      <c r="A386" s="2" t="s">
        <v>722</v>
      </c>
      <c r="B386" s="16" t="s">
        <v>723</v>
      </c>
      <c r="C386" s="14" t="s">
        <v>46</v>
      </c>
      <c r="D386" s="6" t="s">
        <v>726</v>
      </c>
      <c r="E386" s="7">
        <v>0</v>
      </c>
      <c r="F386" s="3">
        <v>10</v>
      </c>
      <c r="G386" s="9">
        <v>30</v>
      </c>
      <c r="H386" s="10"/>
      <c r="I386" s="8"/>
      <c r="J386" s="9">
        <v>10</v>
      </c>
      <c r="K386" s="8"/>
      <c r="L386" s="3">
        <v>1</v>
      </c>
      <c r="M386" s="3" t="s">
        <v>26</v>
      </c>
      <c r="O386" s="9">
        <f>MAX(J386,G386,F386,E386)</f>
        <v>30</v>
      </c>
      <c r="P386" s="10">
        <f>VLOOKUP($O386,codetabel!$A$1:$B$12,2,FALSE)</f>
        <v>2</v>
      </c>
      <c r="Q386" s="11"/>
      <c r="R386" s="54">
        <f t="shared" si="19"/>
        <v>2</v>
      </c>
      <c r="X386" s="3" t="s">
        <v>35</v>
      </c>
      <c r="Y386" s="5"/>
    </row>
    <row r="387" spans="1:25">
      <c r="A387" s="2" t="s">
        <v>727</v>
      </c>
      <c r="B387" s="16" t="s">
        <v>728</v>
      </c>
      <c r="C387" s="14" t="s">
        <v>31</v>
      </c>
      <c r="D387" s="6" t="s">
        <v>729</v>
      </c>
      <c r="G387" s="9"/>
      <c r="H387" s="10"/>
      <c r="I387" s="8"/>
      <c r="J387" s="9"/>
      <c r="K387" s="8"/>
      <c r="P387" s="10" t="e">
        <f>VLOOKUP($O387,codetabel!$A$1:$B$12,2,FALSE)</f>
        <v>#N/A</v>
      </c>
      <c r="Q387" s="11"/>
      <c r="R387" s="54" t="str">
        <f t="shared" si="19"/>
        <v/>
      </c>
    </row>
    <row r="388" spans="1:25">
      <c r="A388" s="2" t="s">
        <v>727</v>
      </c>
      <c r="B388" s="16" t="s">
        <v>728</v>
      </c>
      <c r="C388" s="14" t="s">
        <v>33</v>
      </c>
      <c r="D388" s="6" t="s">
        <v>730</v>
      </c>
      <c r="E388" s="7">
        <v>0</v>
      </c>
      <c r="F388" s="3">
        <v>30</v>
      </c>
      <c r="G388" s="9">
        <v>100</v>
      </c>
      <c r="H388" s="10"/>
      <c r="I388" s="8"/>
      <c r="J388" s="9">
        <v>0</v>
      </c>
      <c r="K388" s="8"/>
      <c r="L388" s="3">
        <v>2</v>
      </c>
      <c r="M388" s="3" t="s">
        <v>26</v>
      </c>
      <c r="O388" s="9">
        <f>MAX(J388,G388,F388,E388)</f>
        <v>100</v>
      </c>
      <c r="P388" s="10" t="str">
        <f>VLOOKUP($O388,codetabel!$A$1:$B$12,2,FALSE)</f>
        <v>3.2</v>
      </c>
      <c r="Q388" s="11"/>
      <c r="R388" s="54" t="str">
        <f t="shared" si="19"/>
        <v>3.2</v>
      </c>
      <c r="X388" s="3" t="s">
        <v>35</v>
      </c>
      <c r="Y388" s="5"/>
    </row>
    <row r="389" spans="1:25">
      <c r="A389" s="2" t="s">
        <v>727</v>
      </c>
      <c r="B389" s="16" t="s">
        <v>728</v>
      </c>
      <c r="C389" s="14" t="s">
        <v>36</v>
      </c>
      <c r="D389" s="6" t="s">
        <v>731</v>
      </c>
      <c r="E389" s="7">
        <v>0</v>
      </c>
      <c r="F389" s="3">
        <v>10</v>
      </c>
      <c r="G389" s="9">
        <v>30</v>
      </c>
      <c r="H389" s="10"/>
      <c r="I389" s="8"/>
      <c r="J389" s="9">
        <v>0</v>
      </c>
      <c r="K389" s="8"/>
      <c r="L389" s="3">
        <v>1</v>
      </c>
      <c r="M389" s="3" t="s">
        <v>26</v>
      </c>
      <c r="O389" s="9">
        <f>MAX(J389,G389,F389,E389)</f>
        <v>30</v>
      </c>
      <c r="P389" s="10">
        <f>VLOOKUP($O389,codetabel!$A$1:$B$12,2,FALSE)</f>
        <v>2</v>
      </c>
      <c r="Q389" s="11"/>
      <c r="R389" s="54">
        <f t="shared" si="19"/>
        <v>2</v>
      </c>
      <c r="X389" s="3" t="s">
        <v>35</v>
      </c>
      <c r="Y389" s="5"/>
    </row>
    <row r="390" spans="1:25">
      <c r="A390" s="2" t="s">
        <v>732</v>
      </c>
      <c r="B390" s="16" t="s">
        <v>733</v>
      </c>
      <c r="C390" s="14" t="s">
        <v>20</v>
      </c>
      <c r="D390" s="6" t="s">
        <v>734</v>
      </c>
      <c r="G390" s="9"/>
      <c r="H390" s="10"/>
      <c r="I390" s="8"/>
      <c r="J390" s="9"/>
      <c r="K390" s="8"/>
      <c r="P390" s="10" t="e">
        <f>VLOOKUP($O390,codetabel!$A$1:$B$12,2,FALSE)</f>
        <v>#N/A</v>
      </c>
      <c r="Q390" s="11"/>
      <c r="R390" s="54" t="str">
        <f t="shared" si="19"/>
        <v/>
      </c>
    </row>
    <row r="391" spans="1:25">
      <c r="A391" s="2" t="s">
        <v>732</v>
      </c>
      <c r="B391" s="16" t="s">
        <v>733</v>
      </c>
      <c r="C391" s="14" t="s">
        <v>22</v>
      </c>
      <c r="D391" s="6" t="s">
        <v>735</v>
      </c>
      <c r="E391" s="7">
        <v>0</v>
      </c>
      <c r="F391" s="3">
        <v>0</v>
      </c>
      <c r="G391" s="9">
        <v>50</v>
      </c>
      <c r="H391" s="10"/>
      <c r="I391" s="8"/>
      <c r="J391" s="9">
        <v>10</v>
      </c>
      <c r="K391" s="8"/>
      <c r="L391" s="3">
        <v>2</v>
      </c>
      <c r="M391" s="3" t="s">
        <v>26</v>
      </c>
      <c r="O391" s="9">
        <f t="shared" ref="O391:O399" si="20">MAX(J391,G391,F391,E391)</f>
        <v>50</v>
      </c>
      <c r="P391" s="10" t="str">
        <f>VLOOKUP($O391,codetabel!$A$1:$B$12,2,FALSE)</f>
        <v>3.1</v>
      </c>
      <c r="Q391" s="11"/>
      <c r="R391" s="54" t="str">
        <f t="shared" si="19"/>
        <v>3.1</v>
      </c>
    </row>
    <row r="392" spans="1:25">
      <c r="A392" s="2" t="s">
        <v>732</v>
      </c>
      <c r="B392" s="16" t="s">
        <v>733</v>
      </c>
      <c r="C392" s="14" t="s">
        <v>46</v>
      </c>
      <c r="D392" s="6" t="s">
        <v>736</v>
      </c>
      <c r="E392" s="7">
        <v>0</v>
      </c>
      <c r="F392" s="3">
        <v>0</v>
      </c>
      <c r="G392" s="9">
        <v>30</v>
      </c>
      <c r="H392" s="10"/>
      <c r="I392" s="8"/>
      <c r="J392" s="9">
        <v>0</v>
      </c>
      <c r="K392" s="8"/>
      <c r="L392" s="3">
        <v>1</v>
      </c>
      <c r="M392" s="3" t="s">
        <v>26</v>
      </c>
      <c r="O392" s="9">
        <f t="shared" si="20"/>
        <v>30</v>
      </c>
      <c r="P392" s="10">
        <f>VLOOKUP($O392,codetabel!$A$1:$B$12,2,FALSE)</f>
        <v>2</v>
      </c>
      <c r="Q392" s="11"/>
      <c r="R392" s="54">
        <f t="shared" si="19"/>
        <v>2</v>
      </c>
      <c r="X392" s="3" t="s">
        <v>35</v>
      </c>
      <c r="Y392" s="5"/>
    </row>
    <row r="393" spans="1:25">
      <c r="A393" s="2" t="s">
        <v>737</v>
      </c>
      <c r="B393" s="16" t="s">
        <v>738</v>
      </c>
      <c r="D393" s="6" t="s">
        <v>739</v>
      </c>
      <c r="E393" s="7">
        <v>50</v>
      </c>
      <c r="F393" s="3">
        <v>10</v>
      </c>
      <c r="G393" s="9">
        <v>30</v>
      </c>
      <c r="H393" s="10"/>
      <c r="I393" s="8"/>
      <c r="J393" s="9">
        <v>100</v>
      </c>
      <c r="K393" s="8" t="s">
        <v>25</v>
      </c>
      <c r="L393" s="3">
        <v>2</v>
      </c>
      <c r="M393" s="3" t="s">
        <v>26</v>
      </c>
      <c r="O393" s="9">
        <f t="shared" si="20"/>
        <v>100</v>
      </c>
      <c r="P393" s="10" t="str">
        <f>VLOOKUP($O393,codetabel!$A$1:$B$12,2,FALSE)</f>
        <v>3.2</v>
      </c>
      <c r="Q393" s="11" t="s">
        <v>27</v>
      </c>
      <c r="R393" s="54" t="str">
        <f t="shared" si="19"/>
        <v>3.2</v>
      </c>
    </row>
    <row r="394" spans="1:25">
      <c r="A394" s="2" t="s">
        <v>740</v>
      </c>
      <c r="B394" s="16" t="s">
        <v>741</v>
      </c>
      <c r="D394" s="6" t="s">
        <v>742</v>
      </c>
      <c r="E394" s="7">
        <v>30</v>
      </c>
      <c r="F394" s="3">
        <v>30</v>
      </c>
      <c r="G394" s="9">
        <v>30</v>
      </c>
      <c r="H394" s="10"/>
      <c r="I394" s="8"/>
      <c r="J394" s="9">
        <v>30</v>
      </c>
      <c r="K394" s="8" t="s">
        <v>25</v>
      </c>
      <c r="L394" s="3">
        <v>1</v>
      </c>
      <c r="M394" s="3" t="s">
        <v>26</v>
      </c>
      <c r="O394" s="9">
        <f t="shared" si="20"/>
        <v>30</v>
      </c>
      <c r="P394" s="10">
        <f>VLOOKUP($O394,codetabel!$A$1:$B$12,2,FALSE)</f>
        <v>2</v>
      </c>
      <c r="Q394" s="11"/>
      <c r="R394" s="54">
        <f t="shared" si="19"/>
        <v>2</v>
      </c>
      <c r="X394" s="3" t="s">
        <v>35</v>
      </c>
      <c r="Y394" s="5"/>
    </row>
    <row r="395" spans="1:25">
      <c r="A395" s="2" t="s">
        <v>743</v>
      </c>
      <c r="B395" s="16" t="s">
        <v>744</v>
      </c>
      <c r="D395" s="6" t="s">
        <v>745</v>
      </c>
      <c r="E395" s="7">
        <v>10</v>
      </c>
      <c r="F395" s="3">
        <v>10</v>
      </c>
      <c r="G395" s="9">
        <v>30</v>
      </c>
      <c r="H395" s="10"/>
      <c r="I395" s="8"/>
      <c r="J395" s="9">
        <v>10</v>
      </c>
      <c r="K395" s="8"/>
      <c r="L395" s="3">
        <v>2</v>
      </c>
      <c r="M395" s="3" t="s">
        <v>26</v>
      </c>
      <c r="O395" s="9">
        <f t="shared" si="20"/>
        <v>30</v>
      </c>
      <c r="P395" s="10">
        <f>VLOOKUP($O395,codetabel!$A$1:$B$12,2,FALSE)</f>
        <v>2</v>
      </c>
      <c r="Q395" s="11"/>
      <c r="R395" s="54">
        <f t="shared" si="19"/>
        <v>2</v>
      </c>
    </row>
    <row r="396" spans="1:25">
      <c r="A396" s="2" t="s">
        <v>746</v>
      </c>
      <c r="B396" s="16" t="s">
        <v>747</v>
      </c>
      <c r="C396" s="14" t="s">
        <v>20</v>
      </c>
      <c r="D396" s="6" t="s">
        <v>748</v>
      </c>
      <c r="E396" s="7">
        <v>10</v>
      </c>
      <c r="F396" s="3">
        <v>30</v>
      </c>
      <c r="G396" s="9">
        <v>100</v>
      </c>
      <c r="H396" s="10"/>
      <c r="I396" s="8"/>
      <c r="J396" s="9">
        <v>30</v>
      </c>
      <c r="K396" s="8"/>
      <c r="L396" s="3">
        <v>2</v>
      </c>
      <c r="M396" s="3" t="s">
        <v>26</v>
      </c>
      <c r="O396" s="9">
        <f t="shared" si="20"/>
        <v>100</v>
      </c>
      <c r="P396" s="10" t="str">
        <f>VLOOKUP($O396,codetabel!$A$1:$B$12,2,FALSE)</f>
        <v>3.2</v>
      </c>
      <c r="Q396" s="11"/>
      <c r="R396" s="54" t="str">
        <f t="shared" si="19"/>
        <v>3.2</v>
      </c>
    </row>
    <row r="397" spans="1:25">
      <c r="A397" s="2" t="s">
        <v>746</v>
      </c>
      <c r="B397" s="16" t="s">
        <v>747</v>
      </c>
      <c r="C397" s="14" t="s">
        <v>22</v>
      </c>
      <c r="D397" s="6" t="s">
        <v>749</v>
      </c>
      <c r="E397" s="7">
        <v>10</v>
      </c>
      <c r="F397" s="3">
        <v>10</v>
      </c>
      <c r="G397" s="9">
        <v>50</v>
      </c>
      <c r="H397" s="10"/>
      <c r="I397" s="8"/>
      <c r="J397" s="9">
        <v>10</v>
      </c>
      <c r="K397" s="8"/>
      <c r="L397" s="3">
        <v>2</v>
      </c>
      <c r="M397" s="3" t="s">
        <v>26</v>
      </c>
      <c r="O397" s="9">
        <f t="shared" si="20"/>
        <v>50</v>
      </c>
      <c r="P397" s="10" t="str">
        <f>VLOOKUP($O397,codetabel!$A$1:$B$12,2,FALSE)</f>
        <v>3.1</v>
      </c>
      <c r="Q397" s="11"/>
      <c r="R397" s="54" t="str">
        <f t="shared" si="19"/>
        <v>3.1</v>
      </c>
      <c r="X397" s="3" t="s">
        <v>35</v>
      </c>
      <c r="Y397" s="5"/>
    </row>
    <row r="398" spans="1:25">
      <c r="A398" s="2" t="s">
        <v>750</v>
      </c>
      <c r="B398" s="16" t="s">
        <v>747</v>
      </c>
      <c r="C398" s="13">
        <v>0</v>
      </c>
      <c r="D398" s="6" t="s">
        <v>751</v>
      </c>
      <c r="E398" s="7">
        <v>10</v>
      </c>
      <c r="F398" s="3">
        <v>30</v>
      </c>
      <c r="G398" s="9">
        <v>100</v>
      </c>
      <c r="H398" s="10"/>
      <c r="I398" s="8"/>
      <c r="J398" s="9">
        <v>10</v>
      </c>
      <c r="K398" s="8"/>
      <c r="L398" s="3">
        <v>2</v>
      </c>
      <c r="M398" s="3" t="s">
        <v>26</v>
      </c>
      <c r="O398" s="9">
        <f t="shared" si="20"/>
        <v>100</v>
      </c>
      <c r="P398" s="10" t="str">
        <f>VLOOKUP($O398,codetabel!$A$1:$B$12,2,FALSE)</f>
        <v>3.2</v>
      </c>
      <c r="Q398" s="11" t="s">
        <v>27</v>
      </c>
      <c r="R398" s="54" t="str">
        <f t="shared" si="19"/>
        <v>3.2</v>
      </c>
    </row>
    <row r="399" spans="1:25">
      <c r="A399" s="2" t="s">
        <v>750</v>
      </c>
      <c r="B399" s="16" t="s">
        <v>747</v>
      </c>
      <c r="C399" s="14" t="s">
        <v>22</v>
      </c>
      <c r="D399" s="6" t="s">
        <v>752</v>
      </c>
      <c r="E399" s="7">
        <v>10</v>
      </c>
      <c r="F399" s="3">
        <v>10</v>
      </c>
      <c r="G399" s="9">
        <v>50</v>
      </c>
      <c r="H399" s="10"/>
      <c r="I399" s="8"/>
      <c r="J399" s="9">
        <v>10</v>
      </c>
      <c r="K399" s="8"/>
      <c r="L399" s="3">
        <v>2</v>
      </c>
      <c r="M399" s="3" t="s">
        <v>26</v>
      </c>
      <c r="O399" s="9">
        <f t="shared" si="20"/>
        <v>50</v>
      </c>
      <c r="P399" s="10" t="str">
        <f>VLOOKUP($O399,codetabel!$A$1:$B$12,2,FALSE)</f>
        <v>3.1</v>
      </c>
      <c r="Q399" s="11"/>
      <c r="R399" s="54" t="str">
        <f t="shared" si="19"/>
        <v>3.1</v>
      </c>
      <c r="X399" s="3" t="s">
        <v>35</v>
      </c>
    </row>
    <row r="400" spans="1:25">
      <c r="A400" s="2" t="s">
        <v>753</v>
      </c>
      <c r="B400" s="16" t="s">
        <v>754</v>
      </c>
      <c r="C400" s="14" t="s">
        <v>20</v>
      </c>
      <c r="D400" s="6" t="s">
        <v>755</v>
      </c>
      <c r="G400" s="9"/>
      <c r="H400" s="10"/>
      <c r="I400" s="8"/>
      <c r="J400" s="9"/>
      <c r="K400" s="8"/>
      <c r="L400" s="3">
        <v>2</v>
      </c>
      <c r="M400" s="3" t="s">
        <v>26</v>
      </c>
      <c r="P400" s="10" t="e">
        <f>VLOOKUP($O400,codetabel!$A$1:$B$12,2,FALSE)</f>
        <v>#N/A</v>
      </c>
      <c r="Q400" s="11"/>
      <c r="R400" s="54" t="str">
        <f t="shared" si="19"/>
        <v/>
      </c>
    </row>
    <row r="401" spans="1:26">
      <c r="A401" s="2" t="s">
        <v>753</v>
      </c>
      <c r="B401" s="16" t="s">
        <v>754</v>
      </c>
      <c r="C401" s="14" t="s">
        <v>22</v>
      </c>
      <c r="D401" s="6" t="s">
        <v>756</v>
      </c>
      <c r="E401" s="7">
        <v>0</v>
      </c>
      <c r="F401" s="3">
        <v>10</v>
      </c>
      <c r="G401" s="9">
        <v>100</v>
      </c>
      <c r="H401" s="10"/>
      <c r="I401" s="8"/>
      <c r="J401" s="9">
        <v>10</v>
      </c>
      <c r="K401" s="8"/>
      <c r="L401" s="3">
        <v>2</v>
      </c>
      <c r="M401" s="3" t="s">
        <v>26</v>
      </c>
      <c r="O401" s="9">
        <f>MAX(J401,G401,F401,E401)</f>
        <v>100</v>
      </c>
      <c r="P401" s="10" t="str">
        <f>VLOOKUP($O401,codetabel!$A$1:$B$12,2,FALSE)</f>
        <v>3.2</v>
      </c>
      <c r="Q401" s="11"/>
      <c r="R401" s="54" t="str">
        <f t="shared" si="19"/>
        <v>3.2</v>
      </c>
      <c r="X401" s="3" t="s">
        <v>35</v>
      </c>
      <c r="Y401" s="5"/>
    </row>
    <row r="402" spans="1:26">
      <c r="A402" s="2" t="s">
        <v>753</v>
      </c>
      <c r="B402" s="16" t="s">
        <v>754</v>
      </c>
      <c r="C402" s="14" t="s">
        <v>46</v>
      </c>
      <c r="D402" s="6" t="s">
        <v>757</v>
      </c>
      <c r="E402" s="7">
        <v>0</v>
      </c>
      <c r="F402" s="3">
        <v>10</v>
      </c>
      <c r="G402" s="9">
        <v>50</v>
      </c>
      <c r="H402" s="10"/>
      <c r="I402" s="8"/>
      <c r="J402" s="9">
        <v>0</v>
      </c>
      <c r="K402" s="8"/>
      <c r="L402" s="3">
        <v>2</v>
      </c>
      <c r="M402" s="3" t="s">
        <v>26</v>
      </c>
      <c r="O402" s="9">
        <f>MAX(J402,G402,F402,E402)</f>
        <v>50</v>
      </c>
      <c r="P402" s="10" t="str">
        <f>VLOOKUP($O402,codetabel!$A$1:$B$12,2,FALSE)</f>
        <v>3.1</v>
      </c>
      <c r="Q402" s="11"/>
      <c r="R402" s="54" t="str">
        <f t="shared" si="19"/>
        <v>3.1</v>
      </c>
      <c r="X402" s="3" t="s">
        <v>35</v>
      </c>
      <c r="Y402" s="5"/>
    </row>
    <row r="403" spans="1:26">
      <c r="A403" s="2" t="s">
        <v>758</v>
      </c>
      <c r="B403" s="16" t="s">
        <v>759</v>
      </c>
      <c r="D403" s="6" t="s">
        <v>760</v>
      </c>
      <c r="E403" s="7">
        <v>0</v>
      </c>
      <c r="F403" s="3">
        <v>0</v>
      </c>
      <c r="G403" s="9">
        <v>30</v>
      </c>
      <c r="H403" s="10"/>
      <c r="I403" s="8"/>
      <c r="J403" s="9">
        <v>0</v>
      </c>
      <c r="K403" s="8"/>
      <c r="L403" s="3">
        <v>2</v>
      </c>
      <c r="M403" s="3" t="s">
        <v>26</v>
      </c>
      <c r="O403" s="9">
        <f>MAX(J403,G403,F403,E403)</f>
        <v>30</v>
      </c>
      <c r="P403" s="10">
        <f>VLOOKUP($O403,codetabel!$A$1:$B$12,2,FALSE)</f>
        <v>2</v>
      </c>
      <c r="Q403" s="11"/>
      <c r="R403" s="54">
        <f t="shared" si="19"/>
        <v>2</v>
      </c>
    </row>
    <row r="404" spans="1:26">
      <c r="A404" s="2" t="s">
        <v>761</v>
      </c>
      <c r="B404" s="16" t="s">
        <v>762</v>
      </c>
      <c r="C404" s="14" t="s">
        <v>16</v>
      </c>
      <c r="D404" s="6" t="s">
        <v>169</v>
      </c>
      <c r="G404" s="9"/>
      <c r="H404" s="10"/>
      <c r="I404" s="8"/>
      <c r="J404" s="9"/>
      <c r="K404" s="8"/>
      <c r="P404" s="10" t="e">
        <f>VLOOKUP($O404,codetabel!$A$1:$B$12,2,FALSE)</f>
        <v>#N/A</v>
      </c>
      <c r="Q404" s="11"/>
      <c r="R404" s="54" t="str">
        <f t="shared" si="19"/>
        <v/>
      </c>
    </row>
    <row r="405" spans="1:26">
      <c r="A405" s="2" t="s">
        <v>761</v>
      </c>
      <c r="B405" s="16" t="s">
        <v>763</v>
      </c>
      <c r="C405" s="14" t="s">
        <v>16</v>
      </c>
      <c r="D405" s="6" t="s">
        <v>764</v>
      </c>
      <c r="G405" s="9"/>
      <c r="H405" s="10"/>
      <c r="I405" s="8"/>
      <c r="J405" s="9"/>
      <c r="K405" s="8"/>
      <c r="P405" s="10" t="e">
        <f>VLOOKUP($O405,codetabel!$A$1:$B$12,2,FALSE)</f>
        <v>#N/A</v>
      </c>
      <c r="Q405" s="11"/>
      <c r="R405" s="54" t="str">
        <f t="shared" si="19"/>
        <v/>
      </c>
    </row>
    <row r="406" spans="1:26">
      <c r="A406" s="2" t="s">
        <v>765</v>
      </c>
      <c r="B406" s="16" t="s">
        <v>766</v>
      </c>
      <c r="D406" s="6" t="s">
        <v>767</v>
      </c>
      <c r="E406" s="7">
        <v>0</v>
      </c>
      <c r="F406" s="3">
        <v>10</v>
      </c>
      <c r="G406" s="9">
        <v>100</v>
      </c>
      <c r="H406" s="10" t="s">
        <v>24</v>
      </c>
      <c r="I406" s="8"/>
      <c r="J406" s="9">
        <v>0</v>
      </c>
      <c r="K406" s="8"/>
      <c r="L406" s="3">
        <v>2</v>
      </c>
      <c r="M406" s="3" t="s">
        <v>589</v>
      </c>
      <c r="O406" s="9">
        <f>MAX(J406,G406,F406,E406)</f>
        <v>100</v>
      </c>
      <c r="P406" s="10" t="str">
        <f>VLOOKUP($O406,codetabel!$A$1:$B$12,2,FALSE)</f>
        <v>3.2</v>
      </c>
      <c r="Q406" s="11" t="s">
        <v>27</v>
      </c>
      <c r="R406" s="54" t="str">
        <f t="shared" si="19"/>
        <v>3.2</v>
      </c>
    </row>
    <row r="407" spans="1:26">
      <c r="A407" s="2" t="s">
        <v>768</v>
      </c>
      <c r="B407" s="16" t="s">
        <v>766</v>
      </c>
      <c r="D407" s="6" t="s">
        <v>769</v>
      </c>
      <c r="E407" s="7">
        <v>10</v>
      </c>
      <c r="F407" s="3">
        <v>0</v>
      </c>
      <c r="G407" s="9">
        <v>100</v>
      </c>
      <c r="H407" s="10" t="s">
        <v>24</v>
      </c>
      <c r="I407" s="8"/>
      <c r="J407" s="9">
        <v>0</v>
      </c>
      <c r="K407" s="8"/>
      <c r="L407" s="3">
        <v>2</v>
      </c>
      <c r="M407" s="3" t="s">
        <v>26</v>
      </c>
      <c r="O407" s="9">
        <f>MAX(J407,G407,F407,E407)</f>
        <v>100</v>
      </c>
      <c r="P407" s="10" t="str">
        <f>VLOOKUP($O407,codetabel!$A$1:$B$12,2,FALSE)</f>
        <v>3.2</v>
      </c>
      <c r="Q407" s="11"/>
      <c r="R407" s="54" t="str">
        <f t="shared" si="19"/>
        <v>3.2</v>
      </c>
    </row>
    <row r="408" spans="1:26">
      <c r="A408" s="2" t="s">
        <v>770</v>
      </c>
      <c r="B408" s="16" t="s">
        <v>771</v>
      </c>
      <c r="C408" s="14" t="s">
        <v>20</v>
      </c>
      <c r="D408" s="6" t="s">
        <v>772</v>
      </c>
      <c r="E408" s="7">
        <v>0</v>
      </c>
      <c r="F408" s="3">
        <v>0</v>
      </c>
      <c r="G408" s="9">
        <v>100</v>
      </c>
      <c r="H408" s="10" t="s">
        <v>24</v>
      </c>
      <c r="I408" s="8"/>
      <c r="J408" s="9">
        <v>30</v>
      </c>
      <c r="K408" s="8"/>
      <c r="L408" s="3">
        <v>3</v>
      </c>
      <c r="M408" s="3" t="s">
        <v>26</v>
      </c>
      <c r="O408" s="9">
        <f>MAX(J408,G408,F408,E408)</f>
        <v>100</v>
      </c>
      <c r="P408" s="10" t="str">
        <f>VLOOKUP($O408,codetabel!$A$1:$B$12,2,FALSE)</f>
        <v>3.2</v>
      </c>
      <c r="Q408" s="11"/>
      <c r="R408" s="54" t="str">
        <f t="shared" si="19"/>
        <v>3.2</v>
      </c>
    </row>
    <row r="409" spans="1:26">
      <c r="A409" s="2" t="s">
        <v>770</v>
      </c>
      <c r="B409" s="16" t="s">
        <v>771</v>
      </c>
      <c r="C409" s="14" t="s">
        <v>22</v>
      </c>
      <c r="D409" s="6" t="s">
        <v>773</v>
      </c>
      <c r="E409" s="7">
        <v>0</v>
      </c>
      <c r="F409" s="3">
        <v>0</v>
      </c>
      <c r="G409" s="9">
        <v>50</v>
      </c>
      <c r="H409" s="10" t="s">
        <v>24</v>
      </c>
      <c r="I409" s="8"/>
      <c r="J409" s="9">
        <v>30</v>
      </c>
      <c r="K409" s="8"/>
      <c r="L409" s="3">
        <v>2</v>
      </c>
      <c r="M409" s="3" t="s">
        <v>26</v>
      </c>
      <c r="O409" s="9">
        <f>MAX(J409,G409,F409,E409)</f>
        <v>50</v>
      </c>
      <c r="P409" s="10" t="str">
        <f>VLOOKUP($O409,codetabel!$A$1:$B$12,2,FALSE)</f>
        <v>3.1</v>
      </c>
      <c r="Q409" s="11"/>
      <c r="R409" s="54" t="str">
        <f t="shared" si="19"/>
        <v>3.1</v>
      </c>
      <c r="X409" s="3" t="s">
        <v>35</v>
      </c>
      <c r="Y409" s="5"/>
    </row>
    <row r="410" spans="1:26">
      <c r="A410" s="2" t="s">
        <v>774</v>
      </c>
      <c r="B410" s="16" t="s">
        <v>775</v>
      </c>
      <c r="D410" s="6" t="s">
        <v>776</v>
      </c>
      <c r="E410" s="7">
        <v>0</v>
      </c>
      <c r="F410" s="3">
        <v>0</v>
      </c>
      <c r="G410" s="9">
        <v>30</v>
      </c>
      <c r="H410" s="10" t="s">
        <v>24</v>
      </c>
      <c r="I410" s="8"/>
      <c r="J410" s="9">
        <v>10</v>
      </c>
      <c r="K410" s="8"/>
      <c r="L410" s="3">
        <v>1</v>
      </c>
      <c r="M410" s="3" t="s">
        <v>589</v>
      </c>
      <c r="O410" s="9">
        <f>MAX(J410,G410,F410,E410)</f>
        <v>30</v>
      </c>
      <c r="P410" s="10">
        <f>VLOOKUP($O410,codetabel!$A$1:$B$12,2,FALSE)</f>
        <v>2</v>
      </c>
      <c r="Q410" s="11" t="s">
        <v>27</v>
      </c>
      <c r="R410" s="54">
        <f t="shared" si="19"/>
        <v>2</v>
      </c>
    </row>
    <row r="411" spans="1:26">
      <c r="A411" s="2" t="s">
        <v>777</v>
      </c>
      <c r="B411" s="16" t="s">
        <v>778</v>
      </c>
      <c r="C411" s="14" t="s">
        <v>16</v>
      </c>
      <c r="D411" s="6" t="s">
        <v>169</v>
      </c>
      <c r="G411" s="9"/>
      <c r="H411" s="10"/>
      <c r="I411" s="8"/>
      <c r="J411" s="9"/>
      <c r="K411" s="8"/>
      <c r="P411" s="10" t="e">
        <f>VLOOKUP($O411,codetabel!$A$1:$B$12,2,FALSE)</f>
        <v>#N/A</v>
      </c>
      <c r="Q411" s="11"/>
      <c r="R411" s="54" t="str">
        <f t="shared" si="19"/>
        <v/>
      </c>
    </row>
    <row r="412" spans="1:26">
      <c r="A412" s="2" t="s">
        <v>777</v>
      </c>
      <c r="B412" s="16" t="s">
        <v>778</v>
      </c>
      <c r="C412" s="14" t="s">
        <v>16</v>
      </c>
      <c r="D412" s="6" t="s">
        <v>779</v>
      </c>
      <c r="G412" s="9"/>
      <c r="H412" s="10"/>
      <c r="I412" s="8"/>
      <c r="J412" s="9"/>
      <c r="K412" s="8"/>
      <c r="P412" s="10" t="e">
        <f>VLOOKUP($O412,codetabel!$A$1:$B$12,2,FALSE)</f>
        <v>#N/A</v>
      </c>
      <c r="Q412" s="11"/>
      <c r="R412" s="54" t="str">
        <f t="shared" ref="R412:R424" si="21">IF(ISNA(P412),"",P412)</f>
        <v/>
      </c>
    </row>
    <row r="413" spans="1:26">
      <c r="A413" s="2" t="s">
        <v>780</v>
      </c>
      <c r="B413" s="16" t="s">
        <v>781</v>
      </c>
      <c r="C413" s="14" t="s">
        <v>20</v>
      </c>
      <c r="D413" s="6" t="s">
        <v>782</v>
      </c>
      <c r="G413" s="9"/>
      <c r="H413" s="10"/>
      <c r="I413" s="8"/>
      <c r="J413" s="9"/>
      <c r="K413" s="8"/>
      <c r="P413" s="10" t="e">
        <f>VLOOKUP($O413,codetabel!$A$1:$B$12,2,FALSE)</f>
        <v>#N/A</v>
      </c>
      <c r="Q413" s="11"/>
      <c r="R413" s="54" t="str">
        <f t="shared" si="21"/>
        <v/>
      </c>
      <c r="Z413" s="5"/>
    </row>
    <row r="414" spans="1:26">
      <c r="A414" s="2" t="s">
        <v>780</v>
      </c>
      <c r="B414" s="16" t="s">
        <v>781</v>
      </c>
      <c r="C414" s="14" t="s">
        <v>46</v>
      </c>
      <c r="D414" s="6" t="s">
        <v>783</v>
      </c>
      <c r="E414" s="7">
        <v>0</v>
      </c>
      <c r="F414" s="3">
        <v>30</v>
      </c>
      <c r="G414" s="9">
        <v>300</v>
      </c>
      <c r="H414" s="10" t="s">
        <v>24</v>
      </c>
      <c r="I414" s="8"/>
      <c r="J414" s="9">
        <v>100</v>
      </c>
      <c r="K414" s="8" t="s">
        <v>25</v>
      </c>
      <c r="L414" s="3">
        <v>3</v>
      </c>
      <c r="M414" s="3" t="s">
        <v>26</v>
      </c>
      <c r="O414" s="9">
        <f>MAX(J414,G414,F414,E414)</f>
        <v>300</v>
      </c>
      <c r="P414" s="10" t="str">
        <f>VLOOKUP($O414,codetabel!$A$1:$B$12,2,FALSE)</f>
        <v>4.2</v>
      </c>
      <c r="Q414" s="11" t="s">
        <v>27</v>
      </c>
      <c r="R414" s="54" t="str">
        <f t="shared" si="21"/>
        <v>4.2</v>
      </c>
      <c r="Z414" s="5"/>
    </row>
    <row r="415" spans="1:26">
      <c r="A415" s="2" t="s">
        <v>780</v>
      </c>
      <c r="B415" s="16" t="s">
        <v>781</v>
      </c>
      <c r="C415" s="14" t="s">
        <v>38</v>
      </c>
      <c r="D415" s="6" t="s">
        <v>784</v>
      </c>
      <c r="E415" s="7">
        <v>300</v>
      </c>
      <c r="F415" s="3">
        <v>10</v>
      </c>
      <c r="G415" s="9">
        <v>100</v>
      </c>
      <c r="H415" s="10" t="s">
        <v>24</v>
      </c>
      <c r="I415" s="8"/>
      <c r="J415" s="9">
        <v>200</v>
      </c>
      <c r="K415" s="8" t="s">
        <v>25</v>
      </c>
      <c r="L415" s="3">
        <v>1</v>
      </c>
      <c r="M415" s="3" t="s">
        <v>26</v>
      </c>
      <c r="O415" s="9">
        <f>MAX(J415,G415,F415,E415)</f>
        <v>300</v>
      </c>
      <c r="P415" s="10" t="str">
        <f>VLOOKUP($O415,codetabel!$A$1:$B$12,2,FALSE)</f>
        <v>4.2</v>
      </c>
      <c r="Q415" s="11"/>
      <c r="R415" s="54" t="str">
        <f t="shared" si="21"/>
        <v>4.2</v>
      </c>
      <c r="Z415" s="5"/>
    </row>
    <row r="416" spans="1:26">
      <c r="A416" s="2" t="s">
        <v>785</v>
      </c>
      <c r="B416" s="16" t="s">
        <v>786</v>
      </c>
      <c r="C416" s="14" t="s">
        <v>20</v>
      </c>
      <c r="D416" s="6" t="s">
        <v>787</v>
      </c>
      <c r="G416" s="9"/>
      <c r="H416" s="10"/>
      <c r="I416" s="8"/>
      <c r="J416" s="9"/>
      <c r="K416" s="8"/>
      <c r="P416" s="10" t="e">
        <f>VLOOKUP($O416,codetabel!$A$1:$B$12,2,FALSE)</f>
        <v>#N/A</v>
      </c>
      <c r="Q416" s="11"/>
      <c r="R416" s="54" t="str">
        <f t="shared" si="21"/>
        <v/>
      </c>
    </row>
    <row r="417" spans="1:25">
      <c r="A417" s="2" t="s">
        <v>785</v>
      </c>
      <c r="B417" s="16" t="s">
        <v>781</v>
      </c>
      <c r="C417" s="14" t="s">
        <v>22</v>
      </c>
      <c r="D417" s="6" t="s">
        <v>788</v>
      </c>
      <c r="E417" s="7">
        <v>0</v>
      </c>
      <c r="F417" s="3">
        <v>10</v>
      </c>
      <c r="G417" s="9">
        <v>300</v>
      </c>
      <c r="H417" s="10"/>
      <c r="I417" s="8"/>
      <c r="J417" s="9">
        <v>50</v>
      </c>
      <c r="K417" s="8" t="s">
        <v>25</v>
      </c>
      <c r="L417" s="3">
        <v>2</v>
      </c>
      <c r="M417" s="3" t="s">
        <v>26</v>
      </c>
      <c r="O417" s="9">
        <f t="shared" ref="O417:O425" si="22">MAX(J417,G417,F417,E417)</f>
        <v>300</v>
      </c>
      <c r="P417" s="10" t="str">
        <f>VLOOKUP($O417,codetabel!$A$1:$B$12,2,FALSE)</f>
        <v>4.2</v>
      </c>
      <c r="Q417" s="11"/>
      <c r="R417" s="54" t="str">
        <f t="shared" si="21"/>
        <v>4.2</v>
      </c>
    </row>
    <row r="418" spans="1:25">
      <c r="A418" s="2" t="s">
        <v>785</v>
      </c>
      <c r="B418" s="16" t="s">
        <v>786</v>
      </c>
      <c r="C418" s="14" t="s">
        <v>461</v>
      </c>
      <c r="D418" s="6" t="s">
        <v>784</v>
      </c>
      <c r="E418" s="7">
        <v>300</v>
      </c>
      <c r="F418" s="3">
        <v>10</v>
      </c>
      <c r="G418" s="9">
        <v>100</v>
      </c>
      <c r="H418" s="10"/>
      <c r="I418" s="8"/>
      <c r="J418" s="9">
        <v>200</v>
      </c>
      <c r="K418" s="8" t="s">
        <v>25</v>
      </c>
      <c r="L418" s="3">
        <v>1</v>
      </c>
      <c r="M418" s="3" t="s">
        <v>26</v>
      </c>
      <c r="O418" s="9">
        <f t="shared" si="22"/>
        <v>300</v>
      </c>
      <c r="P418" s="10" t="str">
        <f>VLOOKUP($O418,codetabel!$A$1:$B$12,2,FALSE)</f>
        <v>4.2</v>
      </c>
      <c r="Q418" s="11"/>
      <c r="R418" s="54" t="str">
        <f t="shared" si="21"/>
        <v>4.2</v>
      </c>
    </row>
    <row r="419" spans="1:25">
      <c r="A419" s="2" t="s">
        <v>785</v>
      </c>
      <c r="B419" s="16" t="s">
        <v>786</v>
      </c>
      <c r="C419" s="14" t="s">
        <v>46</v>
      </c>
      <c r="D419" s="6" t="s">
        <v>783</v>
      </c>
      <c r="E419" s="7">
        <v>0</v>
      </c>
      <c r="F419" s="3">
        <v>10</v>
      </c>
      <c r="G419" s="9">
        <v>100</v>
      </c>
      <c r="H419" s="10"/>
      <c r="I419" s="8"/>
      <c r="J419" s="9">
        <v>50</v>
      </c>
      <c r="K419" s="8" t="s">
        <v>25</v>
      </c>
      <c r="L419" s="3">
        <v>2</v>
      </c>
      <c r="M419" s="3" t="s">
        <v>26</v>
      </c>
      <c r="O419" s="9">
        <f t="shared" si="22"/>
        <v>100</v>
      </c>
      <c r="P419" s="10" t="str">
        <f>VLOOKUP($O419,codetabel!$A$1:$B$12,2,FALSE)</f>
        <v>3.2</v>
      </c>
      <c r="Q419" s="11" t="s">
        <v>27</v>
      </c>
      <c r="R419" s="54" t="str">
        <f t="shared" si="21"/>
        <v>3.2</v>
      </c>
    </row>
    <row r="420" spans="1:25">
      <c r="A420" s="2" t="s">
        <v>785</v>
      </c>
      <c r="B420" s="16" t="s">
        <v>786</v>
      </c>
      <c r="C420" s="14" t="s">
        <v>29</v>
      </c>
      <c r="D420" s="6" t="s">
        <v>789</v>
      </c>
      <c r="E420" s="7">
        <v>30</v>
      </c>
      <c r="F420" s="3">
        <v>200</v>
      </c>
      <c r="G420" s="9">
        <v>300</v>
      </c>
      <c r="H420" s="10"/>
      <c r="I420" s="8"/>
      <c r="J420" s="9">
        <v>30</v>
      </c>
      <c r="K420" s="8"/>
      <c r="L420" s="3">
        <v>2</v>
      </c>
      <c r="M420" s="3" t="s">
        <v>26</v>
      </c>
      <c r="O420" s="9">
        <f t="shared" si="22"/>
        <v>300</v>
      </c>
      <c r="P420" s="10" t="str">
        <f>VLOOKUP($O420,codetabel!$A$1:$B$12,2,FALSE)</f>
        <v>4.2</v>
      </c>
      <c r="Q420" s="11"/>
      <c r="R420" s="54" t="str">
        <f t="shared" si="21"/>
        <v>4.2</v>
      </c>
    </row>
    <row r="421" spans="1:25">
      <c r="A421" s="2" t="s">
        <v>785</v>
      </c>
      <c r="B421" s="16" t="s">
        <v>786</v>
      </c>
      <c r="C421" s="14" t="s">
        <v>33</v>
      </c>
      <c r="D421" s="6" t="s">
        <v>790</v>
      </c>
      <c r="E421" s="7">
        <v>50</v>
      </c>
      <c r="F421" s="3">
        <v>300</v>
      </c>
      <c r="G421" s="9">
        <v>200</v>
      </c>
      <c r="H421" s="10"/>
      <c r="I421" s="8"/>
      <c r="J421" s="9">
        <v>50</v>
      </c>
      <c r="K421" s="8" t="s">
        <v>25</v>
      </c>
      <c r="L421" s="3">
        <v>2</v>
      </c>
      <c r="M421" s="3" t="s">
        <v>26</v>
      </c>
      <c r="O421" s="9">
        <f t="shared" si="22"/>
        <v>300</v>
      </c>
      <c r="P421" s="10" t="str">
        <f>VLOOKUP($O421,codetabel!$A$1:$B$12,2,FALSE)</f>
        <v>4.2</v>
      </c>
      <c r="Q421" s="11"/>
      <c r="R421" s="54" t="str">
        <f t="shared" si="21"/>
        <v>4.2</v>
      </c>
    </row>
    <row r="422" spans="1:25">
      <c r="A422" s="2" t="s">
        <v>785</v>
      </c>
      <c r="B422" s="16" t="s">
        <v>786</v>
      </c>
      <c r="C422" s="14" t="s">
        <v>38</v>
      </c>
      <c r="D422" s="6" t="s">
        <v>791</v>
      </c>
      <c r="E422" s="7">
        <v>50</v>
      </c>
      <c r="F422" s="3">
        <v>300</v>
      </c>
      <c r="G422" s="9">
        <v>300</v>
      </c>
      <c r="H422" s="10"/>
      <c r="I422" s="8"/>
      <c r="J422" s="9">
        <v>50</v>
      </c>
      <c r="K422" s="8"/>
      <c r="L422" s="3">
        <v>2</v>
      </c>
      <c r="M422" s="3" t="s">
        <v>26</v>
      </c>
      <c r="O422" s="9">
        <f t="shared" si="22"/>
        <v>300</v>
      </c>
      <c r="P422" s="10" t="str">
        <f>VLOOKUP($O422,codetabel!$A$1:$B$12,2,FALSE)</f>
        <v>4.2</v>
      </c>
      <c r="Q422" s="11"/>
      <c r="R422" s="54" t="str">
        <f t="shared" si="21"/>
        <v>4.2</v>
      </c>
    </row>
    <row r="423" spans="1:25">
      <c r="A423" s="2" t="s">
        <v>792</v>
      </c>
      <c r="B423" s="16" t="s">
        <v>793</v>
      </c>
      <c r="C423" s="13" t="s">
        <v>260</v>
      </c>
      <c r="D423" s="6" t="s">
        <v>794</v>
      </c>
      <c r="E423" s="7">
        <v>30</v>
      </c>
      <c r="F423" s="3">
        <v>10</v>
      </c>
      <c r="G423" s="9">
        <v>50</v>
      </c>
      <c r="H423" s="10" t="s">
        <v>24</v>
      </c>
      <c r="I423" s="8"/>
      <c r="J423" s="9">
        <v>50</v>
      </c>
      <c r="K423" s="8" t="s">
        <v>25</v>
      </c>
      <c r="L423" s="3">
        <v>2</v>
      </c>
      <c r="M423" s="3" t="s">
        <v>26</v>
      </c>
      <c r="O423" s="9">
        <f t="shared" si="22"/>
        <v>50</v>
      </c>
      <c r="P423" s="10" t="str">
        <f>VLOOKUP($O423,[1]codetabel!$A$1:$B$12,2,FALSE)</f>
        <v>3.1</v>
      </c>
      <c r="Q423" s="11" t="s">
        <v>27</v>
      </c>
      <c r="R423" s="54" t="str">
        <f t="shared" si="21"/>
        <v>3.1</v>
      </c>
      <c r="T423" s="17"/>
      <c r="U423" s="18"/>
    </row>
    <row r="424" spans="1:25">
      <c r="A424" s="2" t="s">
        <v>792</v>
      </c>
      <c r="B424" s="16" t="s">
        <v>795</v>
      </c>
      <c r="C424" s="13" t="s">
        <v>262</v>
      </c>
      <c r="D424" s="6" t="s">
        <v>796</v>
      </c>
      <c r="E424" s="7">
        <v>0</v>
      </c>
      <c r="F424" s="3">
        <v>0</v>
      </c>
      <c r="G424" s="9">
        <v>30</v>
      </c>
      <c r="H424" s="10" t="s">
        <v>24</v>
      </c>
      <c r="I424" s="8"/>
      <c r="J424" s="9">
        <v>10</v>
      </c>
      <c r="K424" s="8"/>
      <c r="L424" s="3">
        <v>2</v>
      </c>
      <c r="M424" s="3" t="s">
        <v>26</v>
      </c>
      <c r="O424" s="9">
        <f t="shared" si="22"/>
        <v>30</v>
      </c>
      <c r="P424" s="10">
        <f>VLOOKUP($O424,[1]codetabel!$A$1:$B$12,2,FALSE)</f>
        <v>2</v>
      </c>
      <c r="Q424" s="11"/>
      <c r="R424" s="54">
        <f t="shared" si="21"/>
        <v>2</v>
      </c>
      <c r="T424" s="17"/>
      <c r="U424" s="18"/>
    </row>
    <row r="425" spans="1:25">
      <c r="A425" s="2" t="s">
        <v>797</v>
      </c>
      <c r="B425" s="16" t="s">
        <v>798</v>
      </c>
      <c r="C425" s="14" t="s">
        <v>46</v>
      </c>
      <c r="D425" s="6" t="s">
        <v>799</v>
      </c>
      <c r="E425" s="7">
        <v>10</v>
      </c>
      <c r="F425" s="3">
        <v>0</v>
      </c>
      <c r="G425" s="9">
        <v>100</v>
      </c>
      <c r="H425" s="10" t="s">
        <v>24</v>
      </c>
      <c r="I425" s="8"/>
      <c r="J425" s="9">
        <v>30</v>
      </c>
      <c r="K425" s="8"/>
      <c r="O425" s="9">
        <f t="shared" si="22"/>
        <v>100</v>
      </c>
      <c r="Q425" s="11"/>
      <c r="R425" s="54" t="s">
        <v>609</v>
      </c>
      <c r="Y425" s="5"/>
    </row>
    <row r="426" spans="1:25">
      <c r="A426" s="2" t="s">
        <v>800</v>
      </c>
      <c r="B426" s="16" t="s">
        <v>801</v>
      </c>
      <c r="C426" s="14" t="s">
        <v>16</v>
      </c>
      <c r="D426" s="6" t="s">
        <v>169</v>
      </c>
      <c r="G426" s="9"/>
      <c r="H426" s="10"/>
      <c r="I426" s="8"/>
      <c r="J426" s="9"/>
      <c r="K426" s="8"/>
      <c r="P426" s="10" t="e">
        <f>VLOOKUP($O426,codetabel!$A$1:$B$12,2,FALSE)</f>
        <v>#N/A</v>
      </c>
      <c r="Q426" s="11"/>
      <c r="R426" s="54" t="str">
        <f t="shared" ref="R426:R434" si="23">IF(ISNA(P426),"",P426)</f>
        <v/>
      </c>
    </row>
    <row r="427" spans="1:25">
      <c r="A427" s="2" t="s">
        <v>800</v>
      </c>
      <c r="B427" s="16" t="s">
        <v>801</v>
      </c>
      <c r="C427" s="14" t="s">
        <v>16</v>
      </c>
      <c r="D427" s="6" t="s">
        <v>802</v>
      </c>
      <c r="G427" s="9"/>
      <c r="H427" s="10"/>
      <c r="I427" s="8"/>
      <c r="J427" s="9"/>
      <c r="K427" s="8"/>
      <c r="P427" s="10" t="e">
        <f>VLOOKUP($O427,codetabel!$A$1:$B$12,2,FALSE)</f>
        <v>#N/A</v>
      </c>
      <c r="Q427" s="11"/>
      <c r="R427" s="54" t="str">
        <f t="shared" si="23"/>
        <v/>
      </c>
    </row>
    <row r="428" spans="1:25">
      <c r="A428" s="2" t="s">
        <v>803</v>
      </c>
      <c r="B428" s="16" t="s">
        <v>804</v>
      </c>
      <c r="D428" s="6" t="s">
        <v>805</v>
      </c>
      <c r="E428" s="7">
        <v>0</v>
      </c>
      <c r="F428" s="3">
        <v>0</v>
      </c>
      <c r="G428" s="9">
        <v>30</v>
      </c>
      <c r="H428" s="10" t="s">
        <v>24</v>
      </c>
      <c r="I428" s="8"/>
      <c r="J428" s="9">
        <v>0</v>
      </c>
      <c r="K428" s="8"/>
      <c r="L428" s="3">
        <v>2</v>
      </c>
      <c r="M428" s="3" t="s">
        <v>589</v>
      </c>
      <c r="O428" s="9">
        <f>MAX(J428,G428,F428,E428)</f>
        <v>30</v>
      </c>
      <c r="P428" s="10">
        <f>VLOOKUP($O428,codetabel!$A$1:$B$12,2,FALSE)</f>
        <v>2</v>
      </c>
      <c r="Q428" s="11"/>
      <c r="R428" s="54">
        <f t="shared" si="23"/>
        <v>2</v>
      </c>
    </row>
    <row r="429" spans="1:25">
      <c r="A429" s="2" t="s">
        <v>806</v>
      </c>
      <c r="B429" s="16" t="s">
        <v>807</v>
      </c>
      <c r="C429" s="14" t="s">
        <v>260</v>
      </c>
      <c r="D429" s="6" t="s">
        <v>808</v>
      </c>
      <c r="E429" s="7">
        <v>0</v>
      </c>
      <c r="F429" s="3">
        <v>0</v>
      </c>
      <c r="G429" s="9">
        <v>10</v>
      </c>
      <c r="H429" s="10" t="s">
        <v>24</v>
      </c>
      <c r="I429" s="8"/>
      <c r="J429" s="9">
        <v>0</v>
      </c>
      <c r="K429" s="8"/>
      <c r="L429" s="3">
        <v>1</v>
      </c>
      <c r="M429" s="3" t="s">
        <v>589</v>
      </c>
      <c r="O429" s="9">
        <f>MAX(J429,G429,F429,E429)</f>
        <v>10</v>
      </c>
      <c r="P429" s="10">
        <f>VLOOKUP($O429,codetabel!$A$1:$B$12,2,FALSE)</f>
        <v>1</v>
      </c>
      <c r="Q429" s="11"/>
      <c r="R429" s="54">
        <f t="shared" si="23"/>
        <v>1</v>
      </c>
    </row>
    <row r="430" spans="1:25">
      <c r="A430" s="2" t="s">
        <v>809</v>
      </c>
      <c r="B430" s="16" t="s">
        <v>810</v>
      </c>
      <c r="C430" s="14" t="s">
        <v>16</v>
      </c>
      <c r="D430" s="6" t="s">
        <v>169</v>
      </c>
      <c r="G430" s="9"/>
      <c r="H430" s="10"/>
      <c r="I430" s="8"/>
      <c r="J430" s="9"/>
      <c r="K430" s="8"/>
      <c r="P430" s="10" t="e">
        <f>VLOOKUP($O430,codetabel!$A$1:$B$12,2,FALSE)</f>
        <v>#N/A</v>
      </c>
      <c r="Q430" s="11"/>
      <c r="R430" s="54" t="str">
        <f t="shared" si="23"/>
        <v/>
      </c>
    </row>
    <row r="431" spans="1:25" ht="22.5">
      <c r="A431" s="2" t="s">
        <v>809</v>
      </c>
      <c r="B431" s="16" t="s">
        <v>810</v>
      </c>
      <c r="C431" s="14" t="s">
        <v>16</v>
      </c>
      <c r="D431" s="6" t="s">
        <v>811</v>
      </c>
      <c r="G431" s="9"/>
      <c r="H431" s="10"/>
      <c r="I431" s="8"/>
      <c r="J431" s="9"/>
      <c r="K431" s="8"/>
      <c r="P431" s="10" t="e">
        <f>VLOOKUP($O431,codetabel!$A$1:$B$12,2,FALSE)</f>
        <v>#N/A</v>
      </c>
      <c r="Q431" s="11"/>
      <c r="R431" s="54" t="str">
        <f t="shared" si="23"/>
        <v/>
      </c>
    </row>
    <row r="432" spans="1:25">
      <c r="A432" s="2" t="s">
        <v>812</v>
      </c>
      <c r="B432" s="16" t="s">
        <v>813</v>
      </c>
      <c r="D432" s="6" t="s">
        <v>814</v>
      </c>
      <c r="E432" s="7">
        <v>10</v>
      </c>
      <c r="F432" s="3">
        <v>0</v>
      </c>
      <c r="G432" s="9">
        <v>50</v>
      </c>
      <c r="H432" s="10"/>
      <c r="I432" s="8"/>
      <c r="J432" s="9">
        <v>10</v>
      </c>
      <c r="K432" s="8"/>
      <c r="L432" s="3">
        <v>2</v>
      </c>
      <c r="M432" s="3" t="s">
        <v>26</v>
      </c>
      <c r="O432" s="9">
        <f>MAX(J432,G432,F432,E432)</f>
        <v>50</v>
      </c>
      <c r="P432" s="10" t="str">
        <f>VLOOKUP($O432,codetabel!$A$1:$B$12,2,FALSE)</f>
        <v>3.1</v>
      </c>
      <c r="Q432" s="11" t="s">
        <v>27</v>
      </c>
      <c r="R432" s="54" t="str">
        <f t="shared" si="23"/>
        <v>3.1</v>
      </c>
    </row>
    <row r="433" spans="1:18">
      <c r="A433" s="2" t="s">
        <v>815</v>
      </c>
      <c r="B433" s="16" t="s">
        <v>816</v>
      </c>
      <c r="D433" s="6" t="s">
        <v>817</v>
      </c>
      <c r="E433" s="7">
        <v>10</v>
      </c>
      <c r="F433" s="3">
        <v>0</v>
      </c>
      <c r="G433" s="9">
        <v>50</v>
      </c>
      <c r="H433" s="10"/>
      <c r="I433" s="8"/>
      <c r="J433" s="9">
        <v>10</v>
      </c>
      <c r="K433" s="8"/>
      <c r="L433" s="3">
        <v>2</v>
      </c>
      <c r="M433" s="3" t="s">
        <v>26</v>
      </c>
      <c r="O433" s="9">
        <f>MAX(J433,G433,F433,E433)</f>
        <v>50</v>
      </c>
      <c r="P433" s="10" t="str">
        <f>VLOOKUP($O433,codetabel!$A$1:$B$12,2,FALSE)</f>
        <v>3.1</v>
      </c>
      <c r="Q433" s="11" t="s">
        <v>27</v>
      </c>
      <c r="R433" s="54" t="str">
        <f t="shared" si="23"/>
        <v>3.1</v>
      </c>
    </row>
    <row r="434" spans="1:18">
      <c r="A434" s="2" t="s">
        <v>818</v>
      </c>
      <c r="B434" s="16" t="s">
        <v>819</v>
      </c>
      <c r="D434" s="6" t="s">
        <v>820</v>
      </c>
      <c r="E434" s="7">
        <v>10</v>
      </c>
      <c r="F434" s="3">
        <v>10</v>
      </c>
      <c r="G434" s="9">
        <v>30</v>
      </c>
      <c r="H434" s="10"/>
      <c r="I434" s="8"/>
      <c r="J434" s="9">
        <v>10</v>
      </c>
      <c r="K434" s="8"/>
      <c r="L434" s="3">
        <v>2</v>
      </c>
      <c r="M434" s="3" t="s">
        <v>26</v>
      </c>
      <c r="O434" s="9">
        <f>MAX(J434,G434,F434,E434)</f>
        <v>30</v>
      </c>
      <c r="P434" s="10">
        <f>VLOOKUP($O434,codetabel!$A$1:$B$12,2,FALSE)</f>
        <v>2</v>
      </c>
      <c r="Q434" s="11" t="s">
        <v>27</v>
      </c>
      <c r="R434" s="54">
        <f t="shared" si="23"/>
        <v>2</v>
      </c>
    </row>
    <row r="435" spans="1:18">
      <c r="A435" s="2" t="s">
        <v>821</v>
      </c>
      <c r="B435" s="16" t="s">
        <v>822</v>
      </c>
      <c r="D435" s="6"/>
      <c r="G435" s="9"/>
      <c r="H435" s="10"/>
      <c r="I435" s="8"/>
      <c r="J435" s="9"/>
      <c r="K435" s="8"/>
      <c r="Q435" s="11"/>
      <c r="R435" s="54"/>
    </row>
    <row r="436" spans="1:18">
      <c r="A436" s="2" t="s">
        <v>821</v>
      </c>
      <c r="B436" s="16" t="s">
        <v>822</v>
      </c>
      <c r="C436" s="14" t="s">
        <v>16</v>
      </c>
      <c r="D436" s="6" t="s">
        <v>823</v>
      </c>
      <c r="G436" s="9"/>
      <c r="H436" s="10"/>
      <c r="I436" s="8"/>
      <c r="J436" s="9"/>
      <c r="K436" s="8"/>
      <c r="P436" s="10" t="e">
        <f>VLOOKUP($O436,codetabel!$A$1:$B$12,2,FALSE)</f>
        <v>#N/A</v>
      </c>
      <c r="Q436" s="11"/>
      <c r="R436" s="54" t="str">
        <f>IF(ISNA(P436),"",P436)</f>
        <v/>
      </c>
    </row>
    <row r="437" spans="1:18">
      <c r="A437" s="2" t="s">
        <v>821</v>
      </c>
      <c r="B437" s="16" t="s">
        <v>824</v>
      </c>
      <c r="C437" s="14" t="s">
        <v>262</v>
      </c>
      <c r="D437" s="6" t="s">
        <v>825</v>
      </c>
      <c r="E437" s="7">
        <v>0</v>
      </c>
      <c r="F437" s="3">
        <v>0</v>
      </c>
      <c r="G437" s="9">
        <v>30</v>
      </c>
      <c r="H437" s="10" t="s">
        <v>24</v>
      </c>
      <c r="I437" s="8"/>
      <c r="J437" s="9">
        <v>0</v>
      </c>
      <c r="K437" s="8"/>
      <c r="O437" s="9">
        <f>MAX(J437,G437,F437,E437)</f>
        <v>30</v>
      </c>
      <c r="Q437" s="11"/>
      <c r="R437" s="54">
        <v>2</v>
      </c>
    </row>
    <row r="438" spans="1:18" ht="24" customHeight="1">
      <c r="A438" s="2" t="s">
        <v>826</v>
      </c>
      <c r="B438" s="72" t="s">
        <v>827</v>
      </c>
      <c r="C438" s="14" t="s">
        <v>16</v>
      </c>
      <c r="D438" s="6" t="s">
        <v>169</v>
      </c>
      <c r="G438" s="9"/>
      <c r="H438" s="10"/>
      <c r="I438" s="8"/>
      <c r="J438" s="9"/>
      <c r="K438" s="8"/>
      <c r="P438" s="10" t="e">
        <f>VLOOKUP($O438,codetabel!$A$1:$B$12,2,FALSE)</f>
        <v>#N/A</v>
      </c>
      <c r="Q438" s="11"/>
      <c r="R438" s="54" t="str">
        <f t="shared" ref="R438:R447" si="24">IF(ISNA(P438),"",P438)</f>
        <v/>
      </c>
    </row>
    <row r="439" spans="1:18" ht="24.75" customHeight="1">
      <c r="A439" s="2" t="s">
        <v>826</v>
      </c>
      <c r="B439" s="72" t="s">
        <v>827</v>
      </c>
      <c r="C439" s="14" t="s">
        <v>16</v>
      </c>
      <c r="D439" s="6" t="s">
        <v>828</v>
      </c>
      <c r="G439" s="9"/>
      <c r="H439" s="10"/>
      <c r="I439" s="8"/>
      <c r="J439" s="9"/>
      <c r="K439" s="8"/>
      <c r="P439" s="10" t="e">
        <f>VLOOKUP($O439,codetabel!$A$1:$B$12,2,FALSE)</f>
        <v>#N/A</v>
      </c>
      <c r="Q439" s="11"/>
      <c r="R439" s="54" t="str">
        <f t="shared" si="24"/>
        <v/>
      </c>
    </row>
    <row r="440" spans="1:18">
      <c r="A440" s="2" t="s">
        <v>829</v>
      </c>
      <c r="B440" s="16" t="s">
        <v>830</v>
      </c>
      <c r="D440" s="6" t="s">
        <v>831</v>
      </c>
      <c r="E440" s="7">
        <v>50</v>
      </c>
      <c r="F440" s="3">
        <v>10</v>
      </c>
      <c r="G440" s="9">
        <v>30</v>
      </c>
      <c r="H440" s="10"/>
      <c r="I440" s="8"/>
      <c r="J440" s="9">
        <v>30</v>
      </c>
      <c r="K440" s="8"/>
      <c r="L440" s="3">
        <v>1</v>
      </c>
      <c r="M440" s="3" t="s">
        <v>589</v>
      </c>
      <c r="O440" s="9">
        <f>MAX(J440,G440,F440,E440)</f>
        <v>50</v>
      </c>
      <c r="P440" s="10" t="str">
        <f>VLOOKUP($O440,codetabel!$A$1:$B$12,2,FALSE)</f>
        <v>3.1</v>
      </c>
      <c r="Q440" s="11" t="s">
        <v>27</v>
      </c>
      <c r="R440" s="54" t="str">
        <f t="shared" si="24"/>
        <v>3.1</v>
      </c>
    </row>
    <row r="441" spans="1:18">
      <c r="A441" s="2" t="s">
        <v>832</v>
      </c>
      <c r="B441" s="16" t="s">
        <v>833</v>
      </c>
      <c r="D441" s="6" t="s">
        <v>834</v>
      </c>
      <c r="E441" s="7">
        <v>10</v>
      </c>
      <c r="F441" s="3">
        <v>0</v>
      </c>
      <c r="G441" s="9">
        <v>30</v>
      </c>
      <c r="H441" s="10" t="s">
        <v>24</v>
      </c>
      <c r="I441" s="8"/>
      <c r="J441" s="9">
        <v>10</v>
      </c>
      <c r="K441" s="8"/>
      <c r="L441" s="3">
        <v>2</v>
      </c>
      <c r="M441" s="3" t="s">
        <v>26</v>
      </c>
      <c r="O441" s="9">
        <f>MAX(J441,G441,F441,E441)</f>
        <v>30</v>
      </c>
      <c r="P441" s="10">
        <f>VLOOKUP($O441,codetabel!$A$1:$B$12,2,FALSE)</f>
        <v>2</v>
      </c>
      <c r="Q441" s="11"/>
      <c r="R441" s="54">
        <f t="shared" si="24"/>
        <v>2</v>
      </c>
    </row>
    <row r="442" spans="1:18">
      <c r="A442" s="2" t="s">
        <v>835</v>
      </c>
      <c r="B442" s="16" t="s">
        <v>836</v>
      </c>
      <c r="D442" s="6" t="s">
        <v>837</v>
      </c>
      <c r="E442" s="7">
        <v>50</v>
      </c>
      <c r="F442" s="3">
        <v>30</v>
      </c>
      <c r="G442" s="9">
        <v>200</v>
      </c>
      <c r="H442" s="10" t="s">
        <v>24</v>
      </c>
      <c r="I442" s="8"/>
      <c r="J442" s="9">
        <v>50</v>
      </c>
      <c r="K442" s="8" t="s">
        <v>25</v>
      </c>
      <c r="L442" s="3">
        <v>3</v>
      </c>
      <c r="M442" s="3" t="s">
        <v>26</v>
      </c>
      <c r="O442" s="9">
        <f>MAX(J442,G442,F442,E442)</f>
        <v>200</v>
      </c>
      <c r="P442" s="10" t="str">
        <f>VLOOKUP($O442,codetabel!$A$1:$B$12,2,FALSE)</f>
        <v>4.1</v>
      </c>
      <c r="Q442" s="11"/>
      <c r="R442" s="54" t="str">
        <f t="shared" si="24"/>
        <v>4.1</v>
      </c>
    </row>
    <row r="443" spans="1:18">
      <c r="A443" s="2" t="s">
        <v>838</v>
      </c>
      <c r="B443" s="16" t="s">
        <v>839</v>
      </c>
      <c r="C443" s="14" t="s">
        <v>16</v>
      </c>
      <c r="D443" s="6" t="s">
        <v>169</v>
      </c>
      <c r="G443" s="9"/>
      <c r="H443" s="10"/>
      <c r="I443" s="8"/>
      <c r="J443" s="9"/>
      <c r="K443" s="8"/>
      <c r="P443" s="10" t="e">
        <f>VLOOKUP($O443,codetabel!$A$1:$B$12,2,FALSE)</f>
        <v>#N/A</v>
      </c>
      <c r="Q443" s="11"/>
      <c r="R443" s="54" t="str">
        <f t="shared" si="24"/>
        <v/>
      </c>
    </row>
    <row r="444" spans="1:18">
      <c r="A444" s="2" t="s">
        <v>838</v>
      </c>
      <c r="B444" s="16" t="s">
        <v>839</v>
      </c>
      <c r="C444" s="14" t="s">
        <v>16</v>
      </c>
      <c r="D444" s="6" t="s">
        <v>840</v>
      </c>
      <c r="G444" s="9"/>
      <c r="H444" s="10"/>
      <c r="I444" s="8"/>
      <c r="J444" s="9"/>
      <c r="K444" s="8"/>
      <c r="P444" s="10" t="e">
        <f>VLOOKUP($O444,codetabel!$A$1:$B$12,2,FALSE)</f>
        <v>#N/A</v>
      </c>
      <c r="Q444" s="11"/>
      <c r="R444" s="54" t="str">
        <f t="shared" si="24"/>
        <v/>
      </c>
    </row>
    <row r="445" spans="1:18">
      <c r="A445" s="2" t="s">
        <v>841</v>
      </c>
      <c r="B445" s="16" t="s">
        <v>842</v>
      </c>
      <c r="C445" s="14" t="s">
        <v>281</v>
      </c>
      <c r="D445" s="6" t="s">
        <v>843</v>
      </c>
      <c r="G445" s="9"/>
      <c r="H445" s="10"/>
      <c r="I445" s="8"/>
      <c r="J445" s="9"/>
      <c r="K445" s="8"/>
      <c r="P445" s="10" t="e">
        <f>VLOOKUP($O445,codetabel!$A$1:$B$12,2,FALSE)</f>
        <v>#N/A</v>
      </c>
      <c r="Q445" s="11"/>
      <c r="R445" s="54" t="str">
        <f t="shared" si="24"/>
        <v/>
      </c>
    </row>
    <row r="446" spans="1:18">
      <c r="A446" s="2" t="s">
        <v>841</v>
      </c>
      <c r="B446" s="16" t="s">
        <v>842</v>
      </c>
      <c r="C446" s="14" t="s">
        <v>283</v>
      </c>
      <c r="D446" s="6" t="s">
        <v>844</v>
      </c>
      <c r="E446" s="7">
        <v>200</v>
      </c>
      <c r="F446" s="3">
        <v>10</v>
      </c>
      <c r="G446" s="9">
        <v>100</v>
      </c>
      <c r="H446" s="10" t="s">
        <v>24</v>
      </c>
      <c r="I446" s="8"/>
      <c r="J446" s="9">
        <v>10</v>
      </c>
      <c r="K446" s="8"/>
      <c r="L446" s="3">
        <v>2</v>
      </c>
      <c r="M446" s="3" t="s">
        <v>26</v>
      </c>
      <c r="O446" s="9">
        <f t="shared" ref="O446:O451" si="25">MAX(J446,G446,F446,E446)</f>
        <v>200</v>
      </c>
      <c r="P446" s="10" t="str">
        <f>VLOOKUP($O446,codetabel!$A$1:$B$12,2,FALSE)</f>
        <v>4.1</v>
      </c>
      <c r="Q446" s="11"/>
      <c r="R446" s="54" t="str">
        <f t="shared" si="24"/>
        <v>4.1</v>
      </c>
    </row>
    <row r="447" spans="1:18">
      <c r="A447" s="2" t="s">
        <v>841</v>
      </c>
      <c r="B447" s="16" t="s">
        <v>842</v>
      </c>
      <c r="C447" s="14" t="s">
        <v>632</v>
      </c>
      <c r="D447" s="6" t="s">
        <v>845</v>
      </c>
      <c r="E447" s="7">
        <v>300</v>
      </c>
      <c r="F447" s="3">
        <v>10</v>
      </c>
      <c r="G447" s="9">
        <v>200</v>
      </c>
      <c r="H447" s="10" t="s">
        <v>24</v>
      </c>
      <c r="I447" s="8" t="s">
        <v>70</v>
      </c>
      <c r="J447" s="9">
        <v>10</v>
      </c>
      <c r="K447" s="8"/>
      <c r="L447" s="3">
        <v>2</v>
      </c>
      <c r="M447" s="3" t="s">
        <v>26</v>
      </c>
      <c r="O447" s="9">
        <f t="shared" si="25"/>
        <v>300</v>
      </c>
      <c r="P447" s="10" t="str">
        <f>VLOOKUP($O447,codetabel!$A$1:$B$12,2,FALSE)</f>
        <v>4.2</v>
      </c>
      <c r="Q447" s="11"/>
      <c r="R447" s="54" t="str">
        <f t="shared" si="24"/>
        <v>4.2</v>
      </c>
    </row>
    <row r="448" spans="1:18">
      <c r="A448" s="2" t="s">
        <v>841</v>
      </c>
      <c r="B448" s="16" t="s">
        <v>842</v>
      </c>
      <c r="C448" s="14" t="s">
        <v>262</v>
      </c>
      <c r="D448" s="6" t="s">
        <v>846</v>
      </c>
      <c r="E448" s="7">
        <v>30</v>
      </c>
      <c r="F448" s="3">
        <v>0</v>
      </c>
      <c r="G448" s="9">
        <v>10</v>
      </c>
      <c r="H448" s="10" t="s">
        <v>24</v>
      </c>
      <c r="I448" s="8"/>
      <c r="J448" s="9">
        <v>0</v>
      </c>
      <c r="K448" s="8"/>
      <c r="O448" s="9">
        <f t="shared" si="25"/>
        <v>30</v>
      </c>
      <c r="Q448" s="11"/>
      <c r="R448" s="54">
        <v>2</v>
      </c>
    </row>
    <row r="449" spans="1:28">
      <c r="A449" s="2" t="s">
        <v>847</v>
      </c>
      <c r="B449" s="16" t="s">
        <v>848</v>
      </c>
      <c r="C449" s="14" t="s">
        <v>260</v>
      </c>
      <c r="D449" s="6" t="s">
        <v>849</v>
      </c>
      <c r="E449" s="7">
        <v>50</v>
      </c>
      <c r="F449" s="3">
        <v>30</v>
      </c>
      <c r="G449" s="9">
        <v>50</v>
      </c>
      <c r="H449" s="10"/>
      <c r="I449" s="8"/>
      <c r="J449" s="9">
        <v>10</v>
      </c>
      <c r="K449" s="8"/>
      <c r="L449" s="3">
        <v>2</v>
      </c>
      <c r="M449" s="3" t="s">
        <v>26</v>
      </c>
      <c r="O449" s="9">
        <f t="shared" si="25"/>
        <v>50</v>
      </c>
      <c r="P449" s="10" t="str">
        <f>VLOOKUP($O449,codetabel!$A$1:$B$12,2,FALSE)</f>
        <v>3.1</v>
      </c>
      <c r="Q449" s="11"/>
      <c r="R449" s="54" t="str">
        <f t="shared" ref="R449:R455" si="26">IF(ISNA(P449),"",P449)</f>
        <v>3.1</v>
      </c>
    </row>
    <row r="450" spans="1:28">
      <c r="A450" s="2" t="s">
        <v>847</v>
      </c>
      <c r="B450" s="16" t="s">
        <v>848</v>
      </c>
      <c r="C450" s="14" t="s">
        <v>262</v>
      </c>
      <c r="D450" s="6" t="s">
        <v>850</v>
      </c>
      <c r="E450" s="7">
        <v>30</v>
      </c>
      <c r="F450" s="3">
        <v>30</v>
      </c>
      <c r="G450" s="9">
        <v>50</v>
      </c>
      <c r="H450" s="10"/>
      <c r="I450" s="8"/>
      <c r="J450" s="9">
        <v>30</v>
      </c>
      <c r="K450" s="8" t="s">
        <v>25</v>
      </c>
      <c r="L450" s="3">
        <v>2</v>
      </c>
      <c r="M450" s="3" t="s">
        <v>26</v>
      </c>
      <c r="O450" s="9">
        <f t="shared" si="25"/>
        <v>50</v>
      </c>
      <c r="P450" s="10" t="str">
        <f>VLOOKUP($O450,codetabel!$A$1:$B$12,2,FALSE)</f>
        <v>3.1</v>
      </c>
      <c r="Q450" s="11"/>
      <c r="R450" s="54" t="str">
        <f t="shared" si="26"/>
        <v>3.1</v>
      </c>
    </row>
    <row r="451" spans="1:28">
      <c r="A451" s="2" t="s">
        <v>847</v>
      </c>
      <c r="B451" s="16" t="s">
        <v>848</v>
      </c>
      <c r="C451" s="14" t="s">
        <v>24</v>
      </c>
      <c r="D451" s="6" t="s">
        <v>851</v>
      </c>
      <c r="E451" s="7">
        <v>200</v>
      </c>
      <c r="F451" s="3">
        <v>200</v>
      </c>
      <c r="G451" s="9">
        <v>300</v>
      </c>
      <c r="H451" s="10"/>
      <c r="I451" s="8"/>
      <c r="J451" s="9">
        <v>30</v>
      </c>
      <c r="K451" s="8"/>
      <c r="L451" s="3">
        <v>3</v>
      </c>
      <c r="M451" s="3" t="s">
        <v>26</v>
      </c>
      <c r="O451" s="9">
        <f t="shared" si="25"/>
        <v>300</v>
      </c>
      <c r="P451" s="10" t="str">
        <f>VLOOKUP($O451,codetabel!$A$1:$B$12,2,FALSE)</f>
        <v>4.2</v>
      </c>
      <c r="Q451" s="11"/>
      <c r="R451" s="54" t="str">
        <f t="shared" si="26"/>
        <v>4.2</v>
      </c>
    </row>
    <row r="452" spans="1:28">
      <c r="A452" s="2" t="s">
        <v>852</v>
      </c>
      <c r="B452" s="16" t="s">
        <v>853</v>
      </c>
      <c r="C452" s="14" t="s">
        <v>281</v>
      </c>
      <c r="D452" s="6" t="s">
        <v>854</v>
      </c>
      <c r="G452" s="9"/>
      <c r="H452" s="10"/>
      <c r="I452" s="8"/>
      <c r="J452" s="9"/>
      <c r="K452" s="8"/>
      <c r="P452" s="10" t="e">
        <f>VLOOKUP($O452,codetabel!$A$1:$B$12,2,FALSE)</f>
        <v>#N/A</v>
      </c>
      <c r="Q452" s="11"/>
      <c r="R452" s="54" t="str">
        <f t="shared" si="26"/>
        <v/>
      </c>
    </row>
    <row r="453" spans="1:28" s="59" customFormat="1">
      <c r="A453" s="2" t="s">
        <v>852</v>
      </c>
      <c r="B453" s="16" t="s">
        <v>853</v>
      </c>
      <c r="C453" s="14" t="s">
        <v>632</v>
      </c>
      <c r="D453" s="6" t="s">
        <v>855</v>
      </c>
      <c r="E453" s="7">
        <v>100</v>
      </c>
      <c r="F453" s="3">
        <v>50</v>
      </c>
      <c r="G453" s="9">
        <v>30</v>
      </c>
      <c r="H453" s="10"/>
      <c r="I453" s="8"/>
      <c r="J453" s="9">
        <v>10</v>
      </c>
      <c r="K453" s="8"/>
      <c r="L453" s="3">
        <v>1</v>
      </c>
      <c r="M453" s="3" t="s">
        <v>26</v>
      </c>
      <c r="N453" s="1"/>
      <c r="O453" s="9">
        <f t="shared" ref="O453:O459" si="27">MAX(J453,G453,F453,E453)</f>
        <v>100</v>
      </c>
      <c r="P453" s="10" t="str">
        <f>VLOOKUP($O453,codetabel!$A$1:$B$12,2,FALSE)</f>
        <v>3.2</v>
      </c>
      <c r="Q453" s="11"/>
      <c r="R453" s="54" t="str">
        <f t="shared" si="26"/>
        <v>3.2</v>
      </c>
      <c r="S453" s="12"/>
      <c r="T453" s="15"/>
      <c r="U453" s="1"/>
      <c r="V453" s="1"/>
      <c r="W453" s="1"/>
      <c r="X453" s="3"/>
      <c r="Y453" s="4"/>
      <c r="Z453" s="4"/>
      <c r="AA453" s="3"/>
      <c r="AB453" s="3"/>
    </row>
    <row r="454" spans="1:28" s="59" customFormat="1">
      <c r="A454" s="2" t="s">
        <v>852</v>
      </c>
      <c r="B454" s="16" t="s">
        <v>853</v>
      </c>
      <c r="C454" s="14" t="s">
        <v>856</v>
      </c>
      <c r="D454" s="6" t="s">
        <v>857</v>
      </c>
      <c r="E454" s="7">
        <v>0</v>
      </c>
      <c r="F454" s="3">
        <v>10</v>
      </c>
      <c r="G454" s="9">
        <v>200</v>
      </c>
      <c r="H454" s="10" t="s">
        <v>24</v>
      </c>
      <c r="I454" s="8"/>
      <c r="J454" s="9">
        <v>1500</v>
      </c>
      <c r="K454" s="8"/>
      <c r="L454" s="3">
        <v>1</v>
      </c>
      <c r="M454" s="3" t="s">
        <v>26</v>
      </c>
      <c r="N454" s="1"/>
      <c r="O454" s="9">
        <f t="shared" si="27"/>
        <v>1500</v>
      </c>
      <c r="P454" s="10">
        <f>VLOOKUP($O454,codetabel!$A$1:$B$12,2,FALSE)</f>
        <v>6</v>
      </c>
      <c r="Q454" s="11"/>
      <c r="R454" s="54">
        <f t="shared" si="26"/>
        <v>6</v>
      </c>
      <c r="S454" s="12"/>
      <c r="T454" s="15"/>
      <c r="U454" s="1"/>
      <c r="V454" s="1"/>
      <c r="W454" s="1"/>
      <c r="X454" s="3"/>
      <c r="Y454" s="4"/>
      <c r="Z454" s="4"/>
    </row>
    <row r="455" spans="1:28" s="59" customFormat="1">
      <c r="A455" s="2" t="s">
        <v>852</v>
      </c>
      <c r="B455" s="16" t="s">
        <v>853</v>
      </c>
      <c r="C455" s="14" t="s">
        <v>605</v>
      </c>
      <c r="D455" s="6" t="s">
        <v>858</v>
      </c>
      <c r="E455" s="7">
        <v>50</v>
      </c>
      <c r="F455" s="3">
        <v>10</v>
      </c>
      <c r="G455" s="9">
        <v>30</v>
      </c>
      <c r="H455" s="10"/>
      <c r="I455" s="8"/>
      <c r="J455" s="9">
        <v>10</v>
      </c>
      <c r="K455" s="8"/>
      <c r="L455" s="3">
        <v>1</v>
      </c>
      <c r="M455" s="3" t="s">
        <v>26</v>
      </c>
      <c r="N455" s="1"/>
      <c r="O455" s="9">
        <f t="shared" si="27"/>
        <v>50</v>
      </c>
      <c r="P455" s="10" t="str">
        <f>VLOOKUP($O455,codetabel!$A$1:$B$12,2,FALSE)</f>
        <v>3.1</v>
      </c>
      <c r="Q455" s="11"/>
      <c r="R455" s="54" t="str">
        <f t="shared" si="26"/>
        <v>3.1</v>
      </c>
      <c r="S455" s="12"/>
      <c r="T455" s="15"/>
      <c r="U455" s="1"/>
      <c r="V455" s="1"/>
      <c r="W455" s="1"/>
      <c r="X455" s="3"/>
      <c r="Y455" s="4"/>
      <c r="Z455" s="4"/>
    </row>
    <row r="456" spans="1:28">
      <c r="A456" s="2" t="s">
        <v>852</v>
      </c>
      <c r="B456" s="16" t="s">
        <v>853</v>
      </c>
      <c r="C456" s="14" t="s">
        <v>859</v>
      </c>
      <c r="D456" s="6" t="s">
        <v>860</v>
      </c>
      <c r="E456" s="7">
        <v>100</v>
      </c>
      <c r="F456" s="3">
        <v>0</v>
      </c>
      <c r="G456" s="9">
        <v>10</v>
      </c>
      <c r="H456" s="10"/>
      <c r="I456" s="8"/>
      <c r="J456" s="9">
        <v>30</v>
      </c>
      <c r="K456" s="8" t="s">
        <v>25</v>
      </c>
      <c r="L456" s="3">
        <v>1</v>
      </c>
      <c r="M456" s="3" t="s">
        <v>26</v>
      </c>
      <c r="O456" s="9">
        <f t="shared" si="27"/>
        <v>100</v>
      </c>
      <c r="P456" s="10" t="str">
        <f>VLOOKUP($O456,codetabel!$A$1:$B$12,2,FALSE)</f>
        <v>3.2</v>
      </c>
      <c r="Q456" s="11" t="s">
        <v>27</v>
      </c>
      <c r="R456" s="54" t="str">
        <f t="shared" ref="R456:R464" si="28">IF(ISNA(P456),"",P456)</f>
        <v>3.2</v>
      </c>
    </row>
    <row r="457" spans="1:28">
      <c r="A457" s="2" t="s">
        <v>852</v>
      </c>
      <c r="B457" s="16" t="s">
        <v>853</v>
      </c>
      <c r="C457" s="14" t="s">
        <v>861</v>
      </c>
      <c r="D457" s="6" t="s">
        <v>862</v>
      </c>
      <c r="E457" s="7">
        <v>300</v>
      </c>
      <c r="F457" s="3">
        <v>200</v>
      </c>
      <c r="G457" s="9">
        <v>300</v>
      </c>
      <c r="H457" s="10" t="s">
        <v>24</v>
      </c>
      <c r="I457" s="8" t="s">
        <v>70</v>
      </c>
      <c r="J457" s="9">
        <v>50</v>
      </c>
      <c r="K457" s="8"/>
      <c r="L457" s="3">
        <v>3</v>
      </c>
      <c r="M457" s="3" t="s">
        <v>26</v>
      </c>
      <c r="O457" s="9">
        <f t="shared" si="27"/>
        <v>300</v>
      </c>
      <c r="P457" s="10" t="str">
        <f>VLOOKUP($O457,codetabel!$A$1:$B$12,2,FALSE)</f>
        <v>4.2</v>
      </c>
      <c r="Q457" s="11" t="s">
        <v>27</v>
      </c>
      <c r="R457" s="54" t="str">
        <f t="shared" si="28"/>
        <v>4.2</v>
      </c>
    </row>
    <row r="458" spans="1:28">
      <c r="A458" s="2" t="s">
        <v>852</v>
      </c>
      <c r="B458" s="16" t="s">
        <v>853</v>
      </c>
      <c r="C458" s="14" t="s">
        <v>863</v>
      </c>
      <c r="D458" s="6" t="s">
        <v>864</v>
      </c>
      <c r="E458" s="7">
        <v>10</v>
      </c>
      <c r="F458" s="3">
        <v>10</v>
      </c>
      <c r="G458" s="9">
        <v>30</v>
      </c>
      <c r="H458" s="10"/>
      <c r="I458" s="8"/>
      <c r="J458" s="9">
        <v>30</v>
      </c>
      <c r="K458" s="8" t="s">
        <v>25</v>
      </c>
      <c r="L458" s="3">
        <v>1</v>
      </c>
      <c r="M458" s="3" t="s">
        <v>26</v>
      </c>
      <c r="O458" s="9">
        <f t="shared" si="27"/>
        <v>30</v>
      </c>
      <c r="P458" s="10">
        <f>VLOOKUP($O458,codetabel!$A$1:$B$12,2,FALSE)</f>
        <v>2</v>
      </c>
      <c r="Q458" s="11"/>
      <c r="R458" s="54">
        <f t="shared" si="28"/>
        <v>2</v>
      </c>
    </row>
    <row r="459" spans="1:28">
      <c r="A459" s="2" t="s">
        <v>852</v>
      </c>
      <c r="B459" s="16" t="s">
        <v>853</v>
      </c>
      <c r="C459" s="14" t="s">
        <v>262</v>
      </c>
      <c r="D459" s="6" t="s">
        <v>865</v>
      </c>
      <c r="E459" s="7">
        <v>300</v>
      </c>
      <c r="F459" s="3">
        <v>200</v>
      </c>
      <c r="G459" s="9">
        <v>300</v>
      </c>
      <c r="H459" s="10"/>
      <c r="I459" s="8"/>
      <c r="J459" s="9">
        <v>10</v>
      </c>
      <c r="K459" s="8"/>
      <c r="L459" s="3">
        <v>3</v>
      </c>
      <c r="M459" s="3" t="s">
        <v>26</v>
      </c>
      <c r="O459" s="9">
        <f t="shared" si="27"/>
        <v>300</v>
      </c>
      <c r="P459" s="10" t="str">
        <f>VLOOKUP($O459,codetabel!$A$1:$B$12,2,FALSE)</f>
        <v>4.2</v>
      </c>
      <c r="Q459" s="11"/>
      <c r="R459" s="54" t="str">
        <f t="shared" si="28"/>
        <v>4.2</v>
      </c>
    </row>
    <row r="460" spans="1:28">
      <c r="A460" s="2" t="s">
        <v>852</v>
      </c>
      <c r="B460" s="16" t="s">
        <v>853</v>
      </c>
      <c r="C460" s="14" t="s">
        <v>611</v>
      </c>
      <c r="D460" s="6" t="s">
        <v>866</v>
      </c>
      <c r="G460" s="9"/>
      <c r="H460" s="10"/>
      <c r="I460" s="8"/>
      <c r="J460" s="9"/>
      <c r="K460" s="8"/>
      <c r="P460" s="10" t="e">
        <f>VLOOKUP($O460,codetabel!$A$1:$B$12,2,FALSE)</f>
        <v>#N/A</v>
      </c>
      <c r="Q460" s="11"/>
      <c r="R460" s="54" t="str">
        <f t="shared" si="28"/>
        <v/>
      </c>
    </row>
    <row r="461" spans="1:28">
      <c r="A461" s="2" t="s">
        <v>852</v>
      </c>
      <c r="B461" s="16" t="s">
        <v>853</v>
      </c>
      <c r="C461" s="14" t="s">
        <v>617</v>
      </c>
      <c r="D461" s="6" t="s">
        <v>867</v>
      </c>
      <c r="E461" s="7">
        <v>100</v>
      </c>
      <c r="F461" s="3">
        <v>100</v>
      </c>
      <c r="G461" s="9">
        <v>100</v>
      </c>
      <c r="H461" s="10"/>
      <c r="I461" s="8"/>
      <c r="J461" s="9">
        <v>10</v>
      </c>
      <c r="K461" s="8"/>
      <c r="L461" s="3">
        <v>2</v>
      </c>
      <c r="M461" s="3" t="s">
        <v>26</v>
      </c>
      <c r="O461" s="9">
        <v>100</v>
      </c>
      <c r="P461" s="10" t="str">
        <f>VLOOKUP($O461,codetabel!$A$1:$B$12,2,FALSE)</f>
        <v>3.2</v>
      </c>
      <c r="Q461" s="11"/>
      <c r="R461" s="54" t="str">
        <f t="shared" si="28"/>
        <v>3.2</v>
      </c>
      <c r="X461" s="3" t="s">
        <v>35</v>
      </c>
    </row>
    <row r="462" spans="1:28">
      <c r="A462" s="2" t="s">
        <v>852</v>
      </c>
      <c r="B462" s="16" t="s">
        <v>853</v>
      </c>
      <c r="C462" s="14" t="s">
        <v>619</v>
      </c>
      <c r="D462" s="6" t="s">
        <v>868</v>
      </c>
      <c r="E462" s="7">
        <v>200</v>
      </c>
      <c r="F462" s="3">
        <v>200</v>
      </c>
      <c r="G462" s="9">
        <v>100</v>
      </c>
      <c r="H462" s="10"/>
      <c r="I462" s="8"/>
      <c r="J462" s="9">
        <v>30</v>
      </c>
      <c r="K462" s="8"/>
      <c r="L462" s="3">
        <v>3</v>
      </c>
      <c r="M462" s="3" t="s">
        <v>26</v>
      </c>
      <c r="O462" s="9">
        <f>MAX(J462,G462,F462,E462)</f>
        <v>200</v>
      </c>
      <c r="P462" s="10" t="str">
        <f>VLOOKUP($O462,codetabel!$A$1:$B$12,2,FALSE)</f>
        <v>4.1</v>
      </c>
      <c r="Q462" s="11"/>
      <c r="R462" s="54" t="str">
        <f t="shared" si="28"/>
        <v>4.1</v>
      </c>
      <c r="X462" s="3" t="s">
        <v>35</v>
      </c>
    </row>
    <row r="463" spans="1:28">
      <c r="A463" s="2" t="s">
        <v>852</v>
      </c>
      <c r="B463" s="16" t="s">
        <v>853</v>
      </c>
      <c r="C463" s="14" t="s">
        <v>869</v>
      </c>
      <c r="D463" s="6" t="s">
        <v>870</v>
      </c>
      <c r="E463" s="7">
        <v>200</v>
      </c>
      <c r="F463" s="3">
        <v>50</v>
      </c>
      <c r="G463" s="9">
        <v>100</v>
      </c>
      <c r="H463" s="10"/>
      <c r="I463" s="8"/>
      <c r="J463" s="9">
        <v>100</v>
      </c>
      <c r="K463" s="8" t="s">
        <v>25</v>
      </c>
      <c r="L463" s="3">
        <v>3</v>
      </c>
      <c r="M463" s="3" t="s">
        <v>26</v>
      </c>
      <c r="O463" s="9">
        <f>MAX(J463,G463,F463,E463)</f>
        <v>200</v>
      </c>
      <c r="P463" s="10" t="str">
        <f>VLOOKUP($O463,codetabel!$A$1:$B$12,2,FALSE)</f>
        <v>4.1</v>
      </c>
      <c r="Q463" s="11"/>
      <c r="R463" s="54" t="str">
        <f t="shared" si="28"/>
        <v>4.1</v>
      </c>
    </row>
    <row r="464" spans="1:28">
      <c r="A464" s="2" t="s">
        <v>871</v>
      </c>
      <c r="B464" s="16" t="s">
        <v>872</v>
      </c>
      <c r="C464" s="14" t="s">
        <v>16</v>
      </c>
      <c r="D464" s="6" t="s">
        <v>169</v>
      </c>
      <c r="G464" s="9"/>
      <c r="H464" s="10"/>
      <c r="I464" s="8"/>
      <c r="J464" s="9"/>
      <c r="K464" s="8"/>
      <c r="P464" s="10" t="e">
        <f>VLOOKUP($O464,codetabel!$A$1:$B$12,2,FALSE)</f>
        <v>#N/A</v>
      </c>
      <c r="Q464" s="11"/>
      <c r="R464" s="54" t="str">
        <f t="shared" si="28"/>
        <v/>
      </c>
    </row>
    <row r="465" spans="1:18">
      <c r="A465" s="2" t="s">
        <v>871</v>
      </c>
      <c r="B465" s="16" t="s">
        <v>872</v>
      </c>
      <c r="C465" s="14" t="s">
        <v>16</v>
      </c>
      <c r="D465" s="6" t="s">
        <v>873</v>
      </c>
      <c r="G465" s="9"/>
      <c r="H465" s="10"/>
      <c r="I465" s="8"/>
      <c r="J465" s="9"/>
      <c r="K465" s="8"/>
      <c r="P465" s="10" t="e">
        <f>VLOOKUP($O465,codetabel!$A$1:$B$12,2,FALSE)</f>
        <v>#N/A</v>
      </c>
      <c r="Q465" s="11"/>
      <c r="R465" s="54" t="str">
        <f>IF(ISNA(P465),"",P465)</f>
        <v/>
      </c>
    </row>
    <row r="466" spans="1:18">
      <c r="A466" s="2" t="s">
        <v>874</v>
      </c>
      <c r="B466" s="16" t="s">
        <v>875</v>
      </c>
      <c r="C466" s="14" t="s">
        <v>260</v>
      </c>
      <c r="D466" s="6" t="s">
        <v>876</v>
      </c>
      <c r="E466" s="7">
        <v>30</v>
      </c>
      <c r="F466" s="3">
        <v>0</v>
      </c>
      <c r="G466" s="9">
        <v>50</v>
      </c>
      <c r="H466" s="10" t="s">
        <v>24</v>
      </c>
      <c r="I466" s="8"/>
      <c r="J466" s="9">
        <v>30</v>
      </c>
      <c r="K466" s="8"/>
      <c r="L466" s="3">
        <v>2</v>
      </c>
      <c r="M466" s="3" t="s">
        <v>26</v>
      </c>
      <c r="O466" s="9">
        <f>MAX(J466,G466,F466,E466)</f>
        <v>50</v>
      </c>
      <c r="P466" s="10" t="str">
        <f>VLOOKUP($O466,codetabel!$A$1:$B$12,2,FALSE)</f>
        <v>3.1</v>
      </c>
      <c r="Q466" s="11"/>
      <c r="R466" s="54" t="str">
        <f>IF(ISNA(P466),"",P466)</f>
        <v>3.1</v>
      </c>
    </row>
    <row r="467" spans="1:18">
      <c r="A467" s="2" t="s">
        <v>874</v>
      </c>
      <c r="B467" s="16" t="s">
        <v>875</v>
      </c>
      <c r="C467" s="14" t="s">
        <v>262</v>
      </c>
      <c r="D467" s="6" t="s">
        <v>877</v>
      </c>
      <c r="E467" s="7">
        <v>30</v>
      </c>
      <c r="F467" s="3">
        <v>0</v>
      </c>
      <c r="G467" s="9">
        <v>50</v>
      </c>
      <c r="H467" s="10"/>
      <c r="I467" s="8"/>
      <c r="J467" s="9">
        <v>30</v>
      </c>
      <c r="K467" s="8"/>
      <c r="L467" s="3">
        <v>2</v>
      </c>
      <c r="M467" s="3" t="s">
        <v>26</v>
      </c>
      <c r="O467" s="9">
        <f>MAX(J467,G467,F467,E467)</f>
        <v>50</v>
      </c>
      <c r="P467" s="10" t="str">
        <f>VLOOKUP($O467,codetabel!$A$1:$B$12,2,FALSE)</f>
        <v>3.1</v>
      </c>
      <c r="Q467" s="11"/>
      <c r="R467" s="54" t="str">
        <f>IF(ISNA(P467),"",P467)</f>
        <v>3.1</v>
      </c>
    </row>
    <row r="468" spans="1:18">
      <c r="A468" s="2" t="s">
        <v>878</v>
      </c>
      <c r="B468" s="16" t="s">
        <v>879</v>
      </c>
      <c r="D468" s="6" t="s">
        <v>880</v>
      </c>
      <c r="E468" s="7">
        <v>30</v>
      </c>
      <c r="F468" s="3">
        <v>0</v>
      </c>
      <c r="G468" s="9">
        <v>30</v>
      </c>
      <c r="H468" s="10"/>
      <c r="I468" s="8"/>
      <c r="J468" s="9">
        <v>30</v>
      </c>
      <c r="K468" s="8" t="s">
        <v>25</v>
      </c>
      <c r="L468" s="3">
        <v>2</v>
      </c>
      <c r="M468" s="3" t="s">
        <v>26</v>
      </c>
      <c r="O468" s="9">
        <f>MAX(J468,G468,F468,E468)</f>
        <v>30</v>
      </c>
      <c r="P468" s="10">
        <f>VLOOKUP($O468,codetabel!$A$1:$B$12,2,FALSE)</f>
        <v>2</v>
      </c>
      <c r="Q468" s="11"/>
      <c r="R468" s="54">
        <f>IF(ISNA(P468),"",P468)</f>
        <v>2</v>
      </c>
    </row>
    <row r="469" spans="1:18">
      <c r="A469" s="2" t="s">
        <v>881</v>
      </c>
      <c r="B469" s="16" t="s">
        <v>882</v>
      </c>
      <c r="C469" s="14" t="s">
        <v>260</v>
      </c>
      <c r="D469" s="6" t="s">
        <v>883</v>
      </c>
      <c r="E469" s="7">
        <v>0</v>
      </c>
      <c r="F469" s="3">
        <v>0</v>
      </c>
      <c r="G469" s="9">
        <v>30</v>
      </c>
      <c r="H469" s="10"/>
      <c r="I469" s="8"/>
      <c r="J469" s="9">
        <v>0</v>
      </c>
      <c r="K469" s="8"/>
      <c r="L469" s="3">
        <v>1</v>
      </c>
      <c r="M469" s="3" t="s">
        <v>26</v>
      </c>
      <c r="O469" s="9">
        <f>MAX(J469,G469,F469,E469)</f>
        <v>30</v>
      </c>
      <c r="P469" s="10">
        <f>VLOOKUP($O469,codetabel!$A$1:$B$12,2,FALSE)</f>
        <v>2</v>
      </c>
      <c r="Q469" s="11"/>
      <c r="R469" s="54">
        <f>IF(ISNA(P469),"",P469)</f>
        <v>2</v>
      </c>
    </row>
    <row r="470" spans="1:18">
      <c r="A470" s="2"/>
      <c r="B470" s="16"/>
      <c r="C470" s="14"/>
      <c r="D470" s="6"/>
      <c r="G470" s="9"/>
      <c r="H470" s="10"/>
      <c r="I470" s="8"/>
      <c r="J470" s="9"/>
      <c r="K470" s="8"/>
      <c r="Q470" s="11"/>
      <c r="R470" s="54"/>
    </row>
    <row r="471" spans="1:18">
      <c r="A471" s="2"/>
      <c r="B471" s="16"/>
      <c r="C471" s="14"/>
      <c r="D471" s="6"/>
      <c r="G471" s="9"/>
      <c r="H471" s="10"/>
      <c r="I471" s="8"/>
      <c r="J471" s="9"/>
      <c r="K471" s="8"/>
      <c r="Q471" s="11"/>
      <c r="R471" s="54"/>
    </row>
    <row r="472" spans="1:18">
      <c r="A472" s="2"/>
      <c r="B472" s="16"/>
      <c r="C472" s="14"/>
      <c r="D472" s="6"/>
      <c r="G472" s="9"/>
      <c r="H472" s="10"/>
      <c r="I472" s="8"/>
      <c r="J472" s="9"/>
      <c r="K472" s="8"/>
      <c r="Q472" s="11"/>
      <c r="R472" s="54"/>
    </row>
    <row r="473" spans="1:18">
      <c r="A473" s="2"/>
      <c r="B473" s="16"/>
      <c r="C473" s="14"/>
      <c r="D473" s="6"/>
      <c r="G473" s="9"/>
      <c r="H473" s="10"/>
      <c r="I473" s="8"/>
      <c r="J473" s="9"/>
      <c r="K473" s="8"/>
      <c r="Q473" s="11"/>
      <c r="R473" s="54"/>
    </row>
    <row r="474" spans="1:18">
      <c r="A474" s="2"/>
      <c r="B474" s="16"/>
      <c r="C474" s="14"/>
      <c r="D474" s="6"/>
      <c r="G474" s="9"/>
      <c r="H474" s="10"/>
      <c r="I474" s="8"/>
      <c r="J474" s="9"/>
      <c r="K474" s="8"/>
      <c r="Q474" s="11"/>
      <c r="R474" s="54"/>
    </row>
    <row r="475" spans="1:18">
      <c r="A475" s="2"/>
      <c r="B475" s="16"/>
      <c r="C475" s="14"/>
      <c r="D475" s="6"/>
      <c r="G475" s="9"/>
      <c r="H475" s="10"/>
      <c r="I475" s="8"/>
      <c r="J475" s="9"/>
      <c r="K475" s="8"/>
      <c r="Q475" s="11"/>
      <c r="R475" s="54"/>
    </row>
    <row r="476" spans="1:18">
      <c r="A476" s="2"/>
      <c r="B476" s="16"/>
      <c r="C476" s="14"/>
      <c r="D476" s="6"/>
      <c r="G476" s="9"/>
      <c r="H476" s="10"/>
      <c r="I476" s="8"/>
      <c r="J476" s="9"/>
      <c r="K476" s="8"/>
      <c r="Q476" s="11"/>
      <c r="R476" s="54"/>
    </row>
    <row r="477" spans="1:18">
      <c r="A477" s="2"/>
      <c r="B477" s="16"/>
      <c r="C477" s="14"/>
      <c r="D477" s="6"/>
      <c r="G477" s="9"/>
      <c r="H477" s="10"/>
      <c r="I477" s="8"/>
      <c r="J477" s="9"/>
      <c r="K477" s="8"/>
      <c r="Q477" s="11"/>
      <c r="R477" s="54"/>
    </row>
    <row r="478" spans="1:18">
      <c r="A478" s="2"/>
      <c r="B478" s="16"/>
      <c r="D478" s="6"/>
      <c r="G478" s="9"/>
      <c r="H478" s="10"/>
      <c r="I478" s="8"/>
      <c r="J478" s="9"/>
      <c r="K478" s="8"/>
      <c r="Q478" s="11"/>
      <c r="R478" s="54"/>
    </row>
    <row r="479" spans="1:18">
      <c r="A479" s="2"/>
      <c r="B479" s="16"/>
      <c r="C479" s="14"/>
      <c r="D479" s="6"/>
      <c r="G479" s="9"/>
      <c r="H479" s="10"/>
      <c r="I479" s="8"/>
      <c r="J479" s="9"/>
      <c r="K479" s="8"/>
      <c r="Q479" s="11"/>
      <c r="R479" s="54"/>
    </row>
    <row r="480" spans="1:18">
      <c r="A480" s="2"/>
      <c r="B480" s="16"/>
      <c r="C480" s="14"/>
      <c r="D480" s="6"/>
      <c r="G480" s="9"/>
      <c r="H480" s="10"/>
      <c r="I480" s="8"/>
      <c r="J480" s="9"/>
      <c r="K480" s="8"/>
      <c r="Q480" s="11"/>
      <c r="R480" s="54"/>
    </row>
    <row r="481" spans="1:26">
      <c r="A481" s="2"/>
      <c r="B481" s="16"/>
      <c r="C481" s="14"/>
      <c r="D481" s="6"/>
      <c r="G481" s="9"/>
      <c r="H481" s="10"/>
      <c r="I481" s="8"/>
      <c r="J481" s="9"/>
      <c r="K481" s="8"/>
      <c r="Q481" s="11"/>
      <c r="R481" s="54"/>
    </row>
    <row r="482" spans="1:26">
      <c r="A482" s="2"/>
      <c r="B482" s="16"/>
      <c r="C482" s="14"/>
      <c r="D482" s="6"/>
      <c r="G482" s="9"/>
      <c r="H482" s="10"/>
      <c r="I482" s="8"/>
      <c r="J482" s="9"/>
      <c r="K482" s="8"/>
      <c r="Q482" s="11"/>
      <c r="R482" s="54"/>
    </row>
    <row r="483" spans="1:26">
      <c r="A483" s="2"/>
      <c r="B483" s="16"/>
      <c r="C483" s="14"/>
      <c r="D483" s="6"/>
      <c r="G483" s="9"/>
      <c r="H483" s="10"/>
      <c r="I483" s="8"/>
      <c r="J483" s="9"/>
      <c r="K483" s="8"/>
      <c r="Q483" s="11"/>
      <c r="R483" s="54"/>
    </row>
    <row r="484" spans="1:26">
      <c r="A484" s="2"/>
      <c r="B484" s="16"/>
      <c r="C484" s="14"/>
      <c r="D484" s="6"/>
      <c r="G484" s="9"/>
      <c r="H484" s="10"/>
      <c r="I484" s="8"/>
      <c r="J484" s="9"/>
      <c r="K484" s="8"/>
      <c r="Q484" s="11"/>
      <c r="R484" s="54"/>
    </row>
    <row r="485" spans="1:26">
      <c r="A485" s="2"/>
      <c r="B485" s="16"/>
      <c r="C485" s="14"/>
      <c r="D485" s="6"/>
      <c r="G485" s="9"/>
      <c r="H485" s="10"/>
      <c r="I485" s="8"/>
      <c r="J485" s="9"/>
      <c r="K485" s="8"/>
      <c r="Q485" s="11"/>
      <c r="R485" s="54"/>
    </row>
    <row r="486" spans="1:26">
      <c r="A486" s="2"/>
      <c r="B486" s="16"/>
      <c r="C486" s="14"/>
      <c r="D486" s="6"/>
      <c r="G486" s="9"/>
      <c r="H486" s="10"/>
      <c r="I486" s="8"/>
      <c r="J486" s="9"/>
      <c r="K486" s="8"/>
      <c r="Q486" s="11"/>
      <c r="R486" s="54"/>
      <c r="Z486" s="5"/>
    </row>
    <row r="487" spans="1:26">
      <c r="A487" s="2"/>
      <c r="B487" s="16"/>
      <c r="C487" s="14"/>
      <c r="D487" s="6"/>
      <c r="G487" s="9"/>
      <c r="H487" s="10"/>
      <c r="I487" s="8"/>
      <c r="J487" s="9"/>
      <c r="K487" s="8"/>
      <c r="Q487" s="11"/>
      <c r="R487" s="54"/>
      <c r="Z487" s="5"/>
    </row>
    <row r="488" spans="1:26">
      <c r="A488" s="2"/>
      <c r="B488" s="16"/>
      <c r="C488" s="14"/>
      <c r="D488" s="6"/>
      <c r="G488" s="9"/>
      <c r="H488" s="10"/>
      <c r="I488" s="8"/>
      <c r="J488" s="9"/>
      <c r="K488" s="8"/>
      <c r="Q488" s="11"/>
      <c r="R488" s="54"/>
      <c r="Z488" s="5"/>
    </row>
    <row r="489" spans="1:26">
      <c r="A489" s="2"/>
      <c r="B489" s="16"/>
      <c r="C489" s="14"/>
      <c r="D489" s="6"/>
      <c r="G489" s="9"/>
      <c r="H489" s="10"/>
      <c r="I489" s="8"/>
      <c r="J489" s="9"/>
      <c r="K489" s="8"/>
      <c r="Q489" s="11"/>
      <c r="R489" s="54"/>
      <c r="Z489" s="5"/>
    </row>
    <row r="490" spans="1:26">
      <c r="A490" s="2"/>
      <c r="B490" s="16"/>
      <c r="C490" s="14"/>
      <c r="D490" s="6"/>
      <c r="G490" s="9"/>
      <c r="H490" s="10"/>
      <c r="I490" s="8"/>
      <c r="J490" s="9"/>
      <c r="K490" s="8"/>
      <c r="Q490" s="11"/>
      <c r="R490" s="54"/>
      <c r="Z490" s="5"/>
    </row>
    <row r="491" spans="1:26">
      <c r="A491" s="2"/>
      <c r="B491" s="16"/>
      <c r="C491" s="14"/>
      <c r="D491" s="6"/>
      <c r="G491" s="9"/>
      <c r="H491" s="10"/>
      <c r="I491" s="8"/>
      <c r="J491" s="9"/>
      <c r="K491" s="8"/>
      <c r="Q491" s="11"/>
      <c r="R491" s="54"/>
      <c r="Z491" s="5"/>
    </row>
    <row r="492" spans="1:26">
      <c r="A492" s="2"/>
      <c r="B492" s="16"/>
      <c r="C492" s="14"/>
      <c r="D492" s="6"/>
      <c r="G492" s="9"/>
      <c r="H492" s="10"/>
      <c r="I492" s="8"/>
      <c r="J492" s="9"/>
      <c r="K492" s="8"/>
      <c r="Q492" s="11"/>
      <c r="R492" s="54"/>
    </row>
    <row r="493" spans="1:26">
      <c r="A493" s="2"/>
      <c r="B493" s="16"/>
      <c r="C493" s="14"/>
      <c r="D493" s="6"/>
      <c r="G493" s="9"/>
      <c r="H493" s="10"/>
      <c r="I493" s="8"/>
      <c r="J493" s="9"/>
      <c r="K493" s="8"/>
      <c r="Q493" s="11"/>
      <c r="R493" s="54"/>
    </row>
    <row r="494" spans="1:26">
      <c r="A494" s="2"/>
      <c r="B494" s="16"/>
      <c r="D494" s="6"/>
      <c r="G494" s="9"/>
      <c r="H494" s="10"/>
      <c r="I494" s="8"/>
      <c r="J494" s="9"/>
      <c r="K494" s="8"/>
      <c r="Q494" s="11"/>
      <c r="R494" s="54"/>
      <c r="Z494" s="5"/>
    </row>
    <row r="495" spans="1:26">
      <c r="A495" s="2"/>
      <c r="B495" s="16"/>
      <c r="C495" s="14"/>
      <c r="D495" s="6"/>
      <c r="G495" s="9"/>
      <c r="H495" s="10"/>
      <c r="I495" s="8"/>
      <c r="J495" s="9"/>
      <c r="K495" s="8"/>
      <c r="Q495" s="11"/>
      <c r="R495" s="54"/>
      <c r="Z495" s="5"/>
    </row>
    <row r="496" spans="1:26">
      <c r="A496" s="2"/>
      <c r="B496" s="16"/>
      <c r="C496" s="14"/>
      <c r="D496" s="6"/>
      <c r="G496" s="9"/>
      <c r="H496" s="10"/>
      <c r="I496" s="8"/>
      <c r="J496" s="9"/>
      <c r="K496" s="8"/>
      <c r="Q496" s="11"/>
      <c r="R496" s="54"/>
      <c r="Z496" s="5"/>
    </row>
    <row r="497" spans="1:26">
      <c r="A497" s="2"/>
      <c r="B497" s="16"/>
      <c r="C497" s="14"/>
      <c r="D497" s="6"/>
      <c r="G497" s="9"/>
      <c r="H497" s="10"/>
      <c r="I497" s="8"/>
      <c r="J497" s="9"/>
      <c r="K497" s="8"/>
      <c r="Q497" s="11"/>
      <c r="R497" s="54"/>
      <c r="Z497" s="5"/>
    </row>
    <row r="498" spans="1:26">
      <c r="A498" s="2"/>
      <c r="B498" s="16"/>
      <c r="C498" s="14"/>
      <c r="D498" s="6"/>
      <c r="G498" s="9"/>
      <c r="H498" s="10"/>
      <c r="I498" s="8"/>
      <c r="J498" s="9"/>
      <c r="K498" s="8"/>
      <c r="Q498" s="11"/>
      <c r="R498" s="54"/>
    </row>
    <row r="499" spans="1:26">
      <c r="A499" s="2"/>
      <c r="B499" s="16"/>
      <c r="C499" s="14"/>
      <c r="D499" s="6"/>
      <c r="G499" s="9"/>
      <c r="H499" s="10"/>
      <c r="I499" s="8"/>
      <c r="J499" s="9"/>
      <c r="K499" s="8"/>
      <c r="Q499" s="11"/>
      <c r="R499" s="54"/>
    </row>
    <row r="500" spans="1:26">
      <c r="A500" s="2"/>
      <c r="B500" s="16"/>
      <c r="C500" s="14"/>
      <c r="D500" s="6"/>
      <c r="G500" s="9"/>
      <c r="H500" s="10"/>
      <c r="I500" s="8"/>
      <c r="J500" s="9"/>
      <c r="K500" s="8"/>
      <c r="Q500" s="11"/>
      <c r="R500" s="54"/>
    </row>
    <row r="501" spans="1:26">
      <c r="A501" s="2"/>
      <c r="B501" s="16"/>
      <c r="C501" s="14"/>
      <c r="D501" s="6"/>
      <c r="G501" s="9"/>
      <c r="H501" s="10"/>
      <c r="I501" s="8"/>
      <c r="J501" s="9"/>
      <c r="K501" s="8"/>
      <c r="Q501" s="11"/>
      <c r="R501" s="54"/>
    </row>
    <row r="502" spans="1:26">
      <c r="A502" s="2"/>
      <c r="B502" s="16"/>
      <c r="C502" s="14"/>
      <c r="D502" s="6"/>
      <c r="G502" s="9"/>
      <c r="H502" s="10"/>
      <c r="I502" s="8"/>
      <c r="J502" s="9"/>
      <c r="K502" s="8"/>
      <c r="Q502" s="11"/>
      <c r="R502" s="54"/>
      <c r="Z502" s="5"/>
    </row>
    <row r="503" spans="1:26">
      <c r="A503" s="2"/>
      <c r="B503" s="16"/>
      <c r="C503" s="14"/>
      <c r="D503" s="6"/>
      <c r="G503" s="9"/>
      <c r="H503" s="10"/>
      <c r="I503" s="8"/>
      <c r="J503" s="9"/>
      <c r="K503" s="8"/>
      <c r="Q503" s="11"/>
      <c r="R503" s="54"/>
      <c r="Z503" s="5"/>
    </row>
    <row r="504" spans="1:26">
      <c r="A504" s="2"/>
      <c r="B504" s="16"/>
      <c r="C504" s="14"/>
      <c r="D504" s="6"/>
      <c r="G504" s="9"/>
      <c r="H504" s="10"/>
      <c r="I504" s="8"/>
      <c r="J504" s="9"/>
      <c r="K504" s="8"/>
      <c r="Q504" s="11"/>
      <c r="R504" s="54"/>
    </row>
    <row r="505" spans="1:26">
      <c r="A505" s="2"/>
      <c r="B505" s="16"/>
      <c r="C505" s="14"/>
      <c r="D505" s="6"/>
      <c r="G505" s="9"/>
      <c r="H505" s="10"/>
      <c r="I505" s="8"/>
      <c r="J505" s="9"/>
      <c r="K505" s="8"/>
      <c r="Q505" s="11"/>
      <c r="R505" s="54"/>
    </row>
    <row r="506" spans="1:26">
      <c r="A506" s="2"/>
      <c r="B506" s="16"/>
      <c r="C506" s="14"/>
      <c r="D506" s="6"/>
      <c r="G506" s="9"/>
      <c r="H506" s="10"/>
      <c r="I506" s="8"/>
      <c r="J506" s="9"/>
      <c r="K506" s="8"/>
      <c r="Q506" s="11"/>
      <c r="R506" s="54"/>
    </row>
    <row r="507" spans="1:26">
      <c r="A507" s="2"/>
      <c r="B507" s="16"/>
      <c r="C507" s="14"/>
      <c r="D507" s="6"/>
      <c r="G507" s="9"/>
      <c r="H507" s="10"/>
      <c r="I507" s="8"/>
      <c r="J507" s="9"/>
      <c r="K507" s="8"/>
      <c r="Q507" s="11"/>
      <c r="R507" s="54"/>
    </row>
    <row r="508" spans="1:26">
      <c r="A508" s="2"/>
      <c r="B508" s="16"/>
      <c r="C508" s="14"/>
      <c r="D508" s="6"/>
      <c r="G508" s="9"/>
      <c r="H508" s="10"/>
      <c r="I508" s="8"/>
      <c r="J508" s="9"/>
      <c r="K508" s="8"/>
      <c r="Q508" s="11"/>
      <c r="R508" s="54"/>
    </row>
    <row r="509" spans="1:26">
      <c r="A509" s="2"/>
      <c r="B509" s="16"/>
      <c r="C509" s="14"/>
      <c r="D509" s="6"/>
      <c r="G509" s="9"/>
      <c r="H509" s="10"/>
      <c r="I509" s="8"/>
      <c r="J509" s="9"/>
      <c r="K509" s="8"/>
      <c r="Q509" s="11"/>
      <c r="R509" s="54"/>
    </row>
    <row r="510" spans="1:26">
      <c r="A510" s="2"/>
      <c r="B510" s="16"/>
      <c r="C510" s="14"/>
      <c r="D510" s="6"/>
      <c r="G510" s="9"/>
      <c r="H510" s="10"/>
      <c r="I510" s="8"/>
      <c r="J510" s="9"/>
      <c r="K510" s="8"/>
      <c r="Q510" s="11"/>
      <c r="R510" s="54"/>
    </row>
    <row r="511" spans="1:26">
      <c r="A511" s="2"/>
      <c r="B511" s="16"/>
      <c r="C511" s="14"/>
      <c r="D511" s="6"/>
      <c r="G511" s="9"/>
      <c r="H511" s="10"/>
      <c r="I511" s="8"/>
      <c r="J511" s="9"/>
      <c r="K511" s="8"/>
      <c r="Q511" s="11"/>
      <c r="R511" s="54"/>
    </row>
    <row r="512" spans="1:26">
      <c r="A512" s="2"/>
      <c r="B512" s="16"/>
      <c r="C512" s="14"/>
      <c r="D512" s="6"/>
      <c r="G512" s="9"/>
      <c r="H512" s="10"/>
      <c r="I512" s="8"/>
      <c r="J512" s="9"/>
      <c r="K512" s="8"/>
      <c r="Q512" s="11"/>
      <c r="R512" s="54"/>
    </row>
    <row r="513" spans="1:26">
      <c r="A513" s="2"/>
      <c r="B513" s="16"/>
      <c r="C513" s="14"/>
      <c r="D513" s="6"/>
      <c r="G513" s="9"/>
      <c r="H513" s="10"/>
      <c r="I513" s="8"/>
      <c r="J513" s="9"/>
      <c r="K513" s="8"/>
      <c r="Q513" s="11"/>
      <c r="R513" s="54"/>
    </row>
    <row r="514" spans="1:26">
      <c r="A514" s="2"/>
      <c r="B514" s="16"/>
      <c r="C514" s="14"/>
      <c r="D514" s="6"/>
      <c r="G514" s="9"/>
      <c r="H514" s="10"/>
      <c r="I514" s="8"/>
      <c r="J514" s="9"/>
      <c r="K514" s="8"/>
      <c r="Q514" s="11"/>
      <c r="R514" s="54"/>
    </row>
    <row r="515" spans="1:26">
      <c r="A515" s="2"/>
      <c r="B515" s="16"/>
      <c r="D515" s="6"/>
      <c r="G515" s="9"/>
      <c r="H515" s="10"/>
      <c r="I515" s="8"/>
      <c r="J515" s="9"/>
      <c r="K515" s="8"/>
      <c r="Q515" s="11"/>
      <c r="R515" s="54"/>
    </row>
    <row r="516" spans="1:26">
      <c r="A516" s="2"/>
      <c r="B516" s="16"/>
      <c r="C516" s="14"/>
      <c r="D516" s="6"/>
      <c r="G516" s="9"/>
      <c r="H516" s="10"/>
      <c r="I516" s="8"/>
      <c r="J516" s="9"/>
      <c r="K516" s="8"/>
      <c r="Q516" s="11"/>
      <c r="R516" s="54"/>
    </row>
    <row r="517" spans="1:26">
      <c r="A517" s="2"/>
      <c r="B517" s="16"/>
      <c r="C517" s="14"/>
      <c r="D517" s="6"/>
      <c r="G517" s="9"/>
      <c r="H517" s="10"/>
      <c r="I517" s="8"/>
      <c r="J517" s="9"/>
      <c r="K517" s="8"/>
      <c r="Q517" s="11"/>
      <c r="R517" s="54"/>
    </row>
    <row r="518" spans="1:26">
      <c r="A518" s="2"/>
      <c r="B518" s="16"/>
      <c r="C518" s="14"/>
      <c r="D518" s="6"/>
      <c r="G518" s="9"/>
      <c r="H518" s="10"/>
      <c r="I518" s="8"/>
      <c r="J518" s="9"/>
      <c r="K518" s="8"/>
      <c r="Q518" s="11"/>
      <c r="R518" s="54"/>
      <c r="Z518" s="5"/>
    </row>
    <row r="519" spans="1:26">
      <c r="A519" s="2"/>
      <c r="B519" s="16"/>
      <c r="C519" s="14"/>
      <c r="D519" s="6"/>
      <c r="G519" s="9"/>
      <c r="H519" s="10"/>
      <c r="I519" s="8"/>
      <c r="J519" s="9"/>
      <c r="K519" s="8"/>
      <c r="Q519" s="11"/>
      <c r="R519" s="54"/>
      <c r="Z519" s="5"/>
    </row>
    <row r="520" spans="1:26">
      <c r="A520" s="2"/>
      <c r="B520" s="16"/>
      <c r="C520" s="14"/>
      <c r="D520" s="6"/>
      <c r="G520" s="9"/>
      <c r="H520" s="10"/>
      <c r="I520" s="8"/>
      <c r="J520" s="9"/>
      <c r="K520" s="8"/>
      <c r="Q520" s="11"/>
      <c r="R520" s="54"/>
      <c r="Z520" s="5"/>
    </row>
    <row r="521" spans="1:26">
      <c r="A521" s="2"/>
      <c r="B521" s="16"/>
      <c r="D521" s="6"/>
      <c r="G521" s="9"/>
      <c r="H521" s="10"/>
      <c r="I521" s="8"/>
      <c r="J521" s="9"/>
      <c r="K521" s="8"/>
      <c r="Q521" s="11"/>
      <c r="R521" s="54"/>
    </row>
    <row r="522" spans="1:26">
      <c r="A522" s="2"/>
      <c r="B522" s="16"/>
      <c r="C522" s="14"/>
      <c r="D522" s="6"/>
      <c r="G522" s="9"/>
      <c r="H522" s="10"/>
      <c r="I522" s="8"/>
      <c r="J522" s="9"/>
      <c r="K522" s="8"/>
      <c r="Q522" s="11"/>
      <c r="R522" s="54"/>
      <c r="Z522" s="5"/>
    </row>
    <row r="523" spans="1:26">
      <c r="A523" s="2"/>
      <c r="B523" s="16"/>
      <c r="C523" s="14"/>
      <c r="D523" s="6"/>
      <c r="G523" s="9"/>
      <c r="H523" s="10"/>
      <c r="I523" s="8"/>
      <c r="J523" s="9"/>
      <c r="K523" s="8"/>
      <c r="Q523" s="11"/>
      <c r="R523" s="54"/>
      <c r="Z523" s="5"/>
    </row>
    <row r="524" spans="1:26">
      <c r="A524" s="2"/>
      <c r="B524" s="16"/>
      <c r="C524" s="14"/>
      <c r="D524" s="6"/>
      <c r="G524" s="9"/>
      <c r="H524" s="10"/>
      <c r="I524" s="8"/>
      <c r="J524" s="9"/>
      <c r="K524" s="8"/>
      <c r="Q524" s="11"/>
      <c r="R524" s="54"/>
    </row>
    <row r="525" spans="1:26">
      <c r="A525" s="2"/>
      <c r="B525" s="16"/>
      <c r="C525" s="14"/>
      <c r="D525" s="6"/>
      <c r="G525" s="9"/>
      <c r="H525" s="10"/>
      <c r="I525" s="8"/>
      <c r="J525" s="9"/>
      <c r="K525" s="8"/>
      <c r="Q525" s="11"/>
      <c r="R525" s="54"/>
      <c r="Z525" s="5"/>
    </row>
    <row r="526" spans="1:26">
      <c r="A526" s="2"/>
      <c r="B526" s="16"/>
      <c r="C526" s="14"/>
      <c r="D526" s="6"/>
      <c r="G526" s="9"/>
      <c r="H526" s="10"/>
      <c r="I526" s="8"/>
      <c r="J526" s="9"/>
      <c r="K526" s="8"/>
      <c r="Q526" s="11"/>
      <c r="R526" s="54"/>
    </row>
    <row r="527" spans="1:26">
      <c r="A527" s="2"/>
      <c r="B527" s="16"/>
      <c r="C527" s="14"/>
      <c r="D527" s="6"/>
      <c r="G527" s="9"/>
      <c r="H527" s="10"/>
      <c r="I527" s="8"/>
      <c r="J527" s="9"/>
      <c r="K527" s="8"/>
      <c r="Q527" s="11"/>
      <c r="R527" s="54"/>
    </row>
    <row r="528" spans="1:26">
      <c r="A528" s="2"/>
      <c r="B528" s="16"/>
      <c r="C528" s="14"/>
      <c r="D528" s="6"/>
      <c r="G528" s="9"/>
      <c r="H528" s="10"/>
      <c r="I528" s="8"/>
      <c r="J528" s="9"/>
      <c r="K528" s="8"/>
      <c r="Q528" s="11"/>
      <c r="R528" s="54"/>
    </row>
    <row r="529" spans="1:26">
      <c r="A529" s="2"/>
      <c r="B529" s="16"/>
      <c r="D529" s="6"/>
      <c r="G529" s="9"/>
      <c r="H529" s="10"/>
      <c r="I529" s="8"/>
      <c r="J529" s="9"/>
      <c r="K529" s="8"/>
      <c r="Q529" s="11"/>
      <c r="R529" s="54"/>
    </row>
    <row r="530" spans="1:26">
      <c r="A530" s="2"/>
      <c r="B530" s="16"/>
      <c r="C530" s="14"/>
      <c r="D530" s="6"/>
      <c r="G530" s="9"/>
      <c r="H530" s="10"/>
      <c r="I530" s="8"/>
      <c r="J530" s="9"/>
      <c r="K530" s="8"/>
      <c r="Q530" s="11"/>
      <c r="R530" s="54"/>
    </row>
    <row r="531" spans="1:26">
      <c r="A531" s="2"/>
      <c r="B531" s="16"/>
      <c r="C531" s="14"/>
      <c r="D531" s="6"/>
      <c r="G531" s="9"/>
      <c r="H531" s="10"/>
      <c r="I531" s="8"/>
      <c r="J531" s="9"/>
      <c r="K531" s="8"/>
      <c r="Q531" s="11"/>
      <c r="R531" s="54"/>
    </row>
    <row r="532" spans="1:26">
      <c r="A532" s="2"/>
      <c r="B532" s="16"/>
      <c r="D532" s="6"/>
      <c r="G532" s="9"/>
      <c r="H532" s="10"/>
      <c r="I532" s="8"/>
      <c r="J532" s="9"/>
      <c r="K532" s="8"/>
      <c r="Q532" s="11"/>
      <c r="R532" s="54"/>
    </row>
    <row r="533" spans="1:26">
      <c r="A533" s="2"/>
      <c r="B533" s="16"/>
      <c r="C533" s="14"/>
      <c r="D533" s="6"/>
      <c r="G533" s="9"/>
      <c r="H533" s="10"/>
      <c r="I533" s="8"/>
      <c r="J533" s="9"/>
      <c r="K533" s="8"/>
      <c r="Q533" s="11"/>
      <c r="R533" s="54"/>
    </row>
    <row r="534" spans="1:26">
      <c r="A534" s="2"/>
      <c r="B534" s="16"/>
      <c r="C534" s="14"/>
      <c r="D534" s="6"/>
      <c r="G534" s="9"/>
      <c r="H534" s="10"/>
      <c r="I534" s="8"/>
      <c r="J534" s="9"/>
      <c r="K534" s="8"/>
      <c r="Q534" s="11"/>
      <c r="R534" s="54"/>
      <c r="Z534" s="5"/>
    </row>
    <row r="535" spans="1:26">
      <c r="A535" s="2"/>
      <c r="B535" s="16"/>
      <c r="C535" s="14"/>
      <c r="D535" s="6"/>
      <c r="G535" s="9"/>
      <c r="H535" s="10"/>
      <c r="I535" s="8"/>
      <c r="J535" s="9"/>
      <c r="K535" s="8"/>
      <c r="Q535" s="11"/>
      <c r="R535" s="54"/>
      <c r="Z535" s="5"/>
    </row>
    <row r="536" spans="1:26">
      <c r="A536" s="2"/>
      <c r="B536" s="16"/>
      <c r="C536" s="14"/>
      <c r="D536" s="6"/>
      <c r="G536" s="9"/>
      <c r="H536" s="10"/>
      <c r="I536" s="8"/>
      <c r="J536" s="9"/>
      <c r="K536" s="8"/>
      <c r="Q536" s="11"/>
      <c r="R536" s="54"/>
    </row>
    <row r="537" spans="1:26">
      <c r="A537" s="2"/>
      <c r="B537" s="16"/>
      <c r="C537" s="14"/>
      <c r="D537" s="6"/>
      <c r="G537" s="9"/>
      <c r="H537" s="10"/>
      <c r="I537" s="8"/>
      <c r="J537" s="9"/>
      <c r="K537" s="8"/>
      <c r="Q537" s="11"/>
      <c r="R537" s="54"/>
    </row>
    <row r="538" spans="1:26">
      <c r="A538" s="2"/>
      <c r="B538" s="16"/>
      <c r="C538" s="14"/>
      <c r="D538" s="6"/>
      <c r="G538" s="9"/>
      <c r="H538" s="10"/>
      <c r="I538" s="8"/>
      <c r="J538" s="9"/>
      <c r="K538" s="8"/>
      <c r="Q538" s="11"/>
      <c r="R538" s="54"/>
      <c r="Z538" s="5"/>
    </row>
    <row r="539" spans="1:26">
      <c r="A539" s="2"/>
      <c r="B539" s="16"/>
      <c r="C539" s="14"/>
      <c r="D539" s="6"/>
      <c r="G539" s="9"/>
      <c r="H539" s="10"/>
      <c r="I539" s="8"/>
      <c r="J539" s="9"/>
      <c r="K539" s="8"/>
      <c r="Q539" s="11"/>
      <c r="R539" s="54"/>
      <c r="Z539" s="5"/>
    </row>
    <row r="540" spans="1:26">
      <c r="A540" s="2"/>
      <c r="B540" s="16"/>
      <c r="C540" s="14"/>
      <c r="D540" s="6"/>
      <c r="G540" s="9"/>
      <c r="H540" s="10"/>
      <c r="I540" s="8"/>
      <c r="J540" s="9"/>
      <c r="K540" s="8"/>
      <c r="L540" s="58"/>
      <c r="Q540" s="11"/>
      <c r="R540" s="54"/>
      <c r="S540" s="60"/>
      <c r="Z540" s="61"/>
    </row>
    <row r="541" spans="1:26" ht="12" customHeight="1">
      <c r="A541" s="2"/>
      <c r="B541" s="16"/>
      <c r="D541" s="6"/>
      <c r="G541" s="9"/>
      <c r="H541" s="10"/>
      <c r="I541" s="8"/>
      <c r="J541" s="9"/>
      <c r="K541" s="8"/>
      <c r="Q541" s="11"/>
      <c r="R541" s="54"/>
    </row>
    <row r="542" spans="1:26">
      <c r="A542" s="2"/>
      <c r="B542" s="16"/>
      <c r="C542" s="14"/>
      <c r="D542" s="6"/>
      <c r="G542" s="9"/>
      <c r="H542" s="10"/>
      <c r="I542" s="8"/>
      <c r="J542" s="9"/>
      <c r="K542" s="8"/>
      <c r="Q542" s="11"/>
      <c r="R542" s="54"/>
    </row>
    <row r="543" spans="1:26">
      <c r="A543" s="2"/>
      <c r="B543" s="16"/>
      <c r="C543" s="14"/>
      <c r="D543" s="6"/>
      <c r="G543" s="9"/>
      <c r="H543" s="10"/>
      <c r="I543" s="8"/>
      <c r="J543" s="9"/>
      <c r="K543" s="8"/>
      <c r="Q543" s="11"/>
      <c r="R543" s="54"/>
    </row>
    <row r="544" spans="1:26">
      <c r="A544" s="2"/>
      <c r="B544" s="16"/>
      <c r="C544" s="14"/>
      <c r="D544" s="6"/>
      <c r="G544" s="9"/>
      <c r="H544" s="10"/>
      <c r="I544" s="8"/>
      <c r="J544" s="9"/>
      <c r="K544" s="8"/>
      <c r="Q544" s="11"/>
      <c r="R544" s="54"/>
    </row>
    <row r="545" spans="1:25">
      <c r="A545" s="2"/>
      <c r="B545" s="16"/>
      <c r="C545" s="14"/>
      <c r="D545" s="6"/>
      <c r="G545" s="9"/>
      <c r="H545" s="10"/>
      <c r="I545" s="8"/>
      <c r="J545" s="9"/>
      <c r="K545" s="8"/>
      <c r="Q545" s="11"/>
      <c r="R545" s="54"/>
    </row>
    <row r="546" spans="1:25">
      <c r="A546" s="2"/>
      <c r="B546" s="16"/>
      <c r="C546" s="14"/>
      <c r="D546" s="6"/>
      <c r="G546" s="9"/>
      <c r="H546" s="10"/>
      <c r="I546" s="8"/>
      <c r="J546" s="9"/>
      <c r="K546" s="8"/>
      <c r="Q546" s="11"/>
      <c r="R546" s="54"/>
    </row>
    <row r="547" spans="1:25">
      <c r="A547" s="2"/>
      <c r="B547" s="16"/>
      <c r="C547" s="14"/>
      <c r="D547" s="6"/>
      <c r="G547" s="9"/>
      <c r="H547" s="10"/>
      <c r="I547" s="8"/>
      <c r="J547" s="9"/>
      <c r="K547" s="8"/>
      <c r="Q547" s="11"/>
      <c r="R547" s="54"/>
    </row>
    <row r="548" spans="1:25">
      <c r="A548" s="2"/>
      <c r="B548" s="16"/>
      <c r="C548" s="14"/>
      <c r="D548" s="6"/>
      <c r="G548" s="9"/>
      <c r="H548" s="10"/>
      <c r="I548" s="8"/>
      <c r="J548" s="9"/>
      <c r="K548" s="8"/>
      <c r="Q548" s="11"/>
      <c r="R548" s="54"/>
    </row>
    <row r="549" spans="1:25">
      <c r="A549" s="2"/>
      <c r="B549" s="16"/>
      <c r="C549" s="14"/>
      <c r="D549" s="6"/>
      <c r="G549" s="9"/>
      <c r="H549" s="10"/>
      <c r="I549" s="8"/>
      <c r="J549" s="9"/>
      <c r="K549" s="8"/>
      <c r="Q549" s="11"/>
      <c r="R549" s="54"/>
      <c r="Y549" s="5"/>
    </row>
    <row r="550" spans="1:25">
      <c r="A550" s="2"/>
      <c r="B550" s="16"/>
      <c r="D550" s="6"/>
      <c r="G550" s="9"/>
      <c r="H550" s="10"/>
      <c r="I550" s="8"/>
      <c r="J550" s="9"/>
      <c r="K550" s="8"/>
      <c r="Q550" s="11"/>
      <c r="R550" s="54"/>
    </row>
    <row r="551" spans="1:25">
      <c r="A551" s="2"/>
      <c r="B551" s="16"/>
      <c r="C551" s="14"/>
      <c r="D551" s="6"/>
      <c r="G551" s="9"/>
      <c r="H551" s="10"/>
      <c r="I551" s="8"/>
      <c r="J551" s="9"/>
      <c r="K551" s="8"/>
      <c r="Q551" s="11"/>
      <c r="R551" s="54"/>
    </row>
    <row r="552" spans="1:25">
      <c r="A552" s="2"/>
      <c r="B552" s="16"/>
      <c r="C552" s="14"/>
      <c r="D552" s="6"/>
      <c r="G552" s="9"/>
      <c r="H552" s="10"/>
      <c r="I552" s="8"/>
      <c r="J552" s="9"/>
      <c r="K552" s="8"/>
      <c r="Q552" s="11"/>
      <c r="R552" s="54"/>
    </row>
    <row r="553" spans="1:25">
      <c r="A553" s="2"/>
      <c r="B553" s="16"/>
      <c r="C553" s="14"/>
      <c r="D553" s="6"/>
      <c r="G553" s="9"/>
      <c r="H553" s="10"/>
      <c r="I553" s="8"/>
      <c r="J553" s="9"/>
      <c r="K553" s="8"/>
      <c r="Q553" s="11"/>
      <c r="R553" s="54"/>
    </row>
    <row r="554" spans="1:25">
      <c r="A554" s="2"/>
      <c r="B554" s="16"/>
      <c r="D554" s="6"/>
      <c r="G554" s="9"/>
      <c r="H554" s="10"/>
      <c r="I554" s="8"/>
      <c r="J554" s="9"/>
      <c r="K554" s="8"/>
      <c r="Q554" s="11"/>
      <c r="R554" s="54"/>
    </row>
    <row r="555" spans="1:25">
      <c r="A555" s="62"/>
      <c r="B555" s="63"/>
      <c r="C555" s="14"/>
      <c r="D555" s="6"/>
      <c r="G555" s="9"/>
      <c r="H555" s="10"/>
      <c r="I555" s="8"/>
      <c r="J555" s="9"/>
      <c r="K555" s="8"/>
      <c r="Q555" s="11"/>
      <c r="R555" s="54"/>
    </row>
    <row r="556" spans="1:25">
      <c r="A556" s="62"/>
      <c r="B556" s="63"/>
      <c r="C556" s="14"/>
      <c r="D556" s="6"/>
      <c r="G556" s="9"/>
      <c r="H556" s="10"/>
      <c r="I556" s="8"/>
      <c r="J556" s="9"/>
      <c r="K556" s="8"/>
      <c r="Q556" s="11"/>
      <c r="R556" s="54"/>
    </row>
    <row r="557" spans="1:25">
      <c r="A557" s="62"/>
      <c r="B557" s="63"/>
      <c r="C557" s="14"/>
      <c r="D557" s="6"/>
      <c r="G557" s="9"/>
      <c r="H557" s="10"/>
      <c r="I557" s="8"/>
      <c r="J557" s="9"/>
      <c r="K557" s="8"/>
      <c r="Q557" s="11"/>
      <c r="R557" s="54"/>
    </row>
    <row r="558" spans="1:25">
      <c r="A558" s="62"/>
      <c r="B558" s="63"/>
      <c r="C558" s="14"/>
      <c r="D558" s="6"/>
      <c r="G558" s="9"/>
      <c r="H558" s="10"/>
      <c r="I558" s="8"/>
      <c r="J558" s="9"/>
      <c r="K558" s="8"/>
      <c r="Q558" s="11"/>
      <c r="R558" s="54"/>
    </row>
    <row r="559" spans="1:25">
      <c r="A559" s="2"/>
      <c r="B559" s="16"/>
      <c r="C559" s="14"/>
      <c r="D559" s="6"/>
      <c r="G559" s="9"/>
      <c r="H559" s="10"/>
      <c r="I559" s="8"/>
      <c r="J559" s="9"/>
      <c r="K559" s="8"/>
      <c r="Q559" s="11"/>
      <c r="R559" s="54"/>
    </row>
    <row r="560" spans="1:25">
      <c r="A560" s="2"/>
      <c r="B560" s="16"/>
      <c r="C560" s="14"/>
      <c r="D560" s="6"/>
      <c r="G560" s="9"/>
      <c r="H560" s="10"/>
      <c r="I560" s="8"/>
      <c r="J560" s="9"/>
      <c r="K560" s="8"/>
      <c r="Q560" s="11"/>
      <c r="R560" s="54"/>
    </row>
    <row r="561" spans="1:25">
      <c r="A561" s="2"/>
      <c r="B561" s="16"/>
      <c r="C561" s="14"/>
      <c r="D561" s="6"/>
      <c r="G561" s="9"/>
      <c r="H561" s="10"/>
      <c r="I561" s="8"/>
      <c r="J561" s="9"/>
      <c r="K561" s="8"/>
      <c r="Q561" s="11"/>
      <c r="R561" s="54"/>
    </row>
    <row r="562" spans="1:25">
      <c r="A562" s="2"/>
      <c r="B562" s="16"/>
      <c r="C562" s="14"/>
      <c r="D562" s="6"/>
      <c r="G562" s="9"/>
      <c r="H562" s="10"/>
      <c r="I562" s="8"/>
      <c r="J562" s="9"/>
      <c r="K562" s="8"/>
      <c r="Q562" s="11"/>
      <c r="R562" s="54"/>
    </row>
    <row r="563" spans="1:25">
      <c r="A563" s="2"/>
      <c r="B563" s="16"/>
      <c r="C563" s="14"/>
      <c r="D563" s="6"/>
      <c r="G563" s="9"/>
      <c r="H563" s="10"/>
      <c r="I563" s="8"/>
      <c r="J563" s="9"/>
      <c r="K563" s="8"/>
      <c r="Q563" s="11"/>
      <c r="R563" s="54"/>
    </row>
    <row r="564" spans="1:25">
      <c r="A564" s="2"/>
      <c r="B564" s="16"/>
      <c r="C564" s="14"/>
      <c r="D564" s="6"/>
      <c r="G564" s="9"/>
      <c r="H564" s="10"/>
      <c r="I564" s="8"/>
      <c r="J564" s="9"/>
      <c r="K564" s="8"/>
      <c r="Q564" s="11"/>
      <c r="R564" s="54"/>
    </row>
    <row r="565" spans="1:25">
      <c r="A565" s="2"/>
      <c r="B565" s="16"/>
      <c r="C565" s="14"/>
      <c r="D565" s="6"/>
      <c r="G565" s="9"/>
      <c r="H565" s="10"/>
      <c r="I565" s="8"/>
      <c r="J565" s="9"/>
      <c r="K565" s="8"/>
      <c r="Q565" s="11"/>
      <c r="R565" s="54"/>
    </row>
    <row r="566" spans="1:25">
      <c r="A566" s="2"/>
      <c r="B566" s="16"/>
      <c r="C566" s="14"/>
      <c r="D566" s="6"/>
      <c r="G566" s="9"/>
      <c r="H566" s="10"/>
      <c r="I566" s="8"/>
      <c r="J566" s="9"/>
      <c r="K566" s="8"/>
      <c r="Q566" s="11"/>
      <c r="R566" s="54"/>
    </row>
    <row r="567" spans="1:25">
      <c r="A567" s="2"/>
      <c r="B567" s="16"/>
      <c r="C567" s="14"/>
      <c r="D567" s="6"/>
      <c r="G567" s="9"/>
      <c r="H567" s="10"/>
      <c r="I567" s="8"/>
      <c r="J567" s="9"/>
      <c r="K567" s="8"/>
      <c r="Q567" s="11"/>
      <c r="R567" s="54"/>
    </row>
    <row r="568" spans="1:25">
      <c r="A568" s="2"/>
      <c r="B568" s="16"/>
      <c r="C568" s="14"/>
      <c r="D568" s="6"/>
      <c r="G568" s="9"/>
      <c r="H568" s="10"/>
      <c r="I568" s="8"/>
      <c r="J568" s="9"/>
      <c r="K568" s="8"/>
      <c r="Q568" s="11"/>
      <c r="R568" s="54"/>
      <c r="Y568" s="5"/>
    </row>
    <row r="569" spans="1:25">
      <c r="A569" s="2"/>
      <c r="B569" s="16"/>
      <c r="C569" s="14"/>
      <c r="D569" s="6"/>
      <c r="G569" s="9"/>
      <c r="H569" s="10"/>
      <c r="I569" s="8"/>
      <c r="J569" s="9"/>
      <c r="K569" s="8"/>
      <c r="Q569" s="11"/>
      <c r="R569" s="54"/>
      <c r="Y569" s="5"/>
    </row>
    <row r="570" spans="1:25">
      <c r="A570" s="2"/>
      <c r="B570" s="16"/>
      <c r="C570" s="14"/>
      <c r="D570" s="6"/>
      <c r="G570" s="9"/>
      <c r="H570" s="10"/>
      <c r="I570" s="8"/>
      <c r="J570" s="9"/>
      <c r="K570" s="8"/>
      <c r="Q570" s="11"/>
      <c r="R570" s="54"/>
      <c r="Y570" s="5"/>
    </row>
    <row r="571" spans="1:25">
      <c r="A571" s="2"/>
      <c r="B571" s="16"/>
      <c r="C571" s="14"/>
      <c r="D571" s="6"/>
      <c r="G571" s="9"/>
      <c r="H571" s="10"/>
      <c r="I571" s="8"/>
      <c r="J571" s="9"/>
      <c r="K571" s="8"/>
      <c r="Q571" s="11"/>
      <c r="R571" s="54"/>
      <c r="Y571" s="5"/>
    </row>
    <row r="572" spans="1:25">
      <c r="A572" s="2"/>
      <c r="B572" s="16"/>
      <c r="D572" s="6"/>
      <c r="G572" s="9"/>
      <c r="H572" s="10"/>
      <c r="I572" s="8"/>
      <c r="J572" s="9"/>
      <c r="K572" s="8"/>
      <c r="Q572" s="11"/>
      <c r="R572" s="54"/>
    </row>
    <row r="573" spans="1:25">
      <c r="A573" s="2"/>
      <c r="B573" s="16"/>
      <c r="C573" s="14"/>
      <c r="D573" s="6"/>
      <c r="G573" s="9"/>
      <c r="H573" s="10"/>
      <c r="I573" s="8"/>
      <c r="J573" s="9"/>
      <c r="K573" s="8"/>
      <c r="Q573" s="11"/>
      <c r="R573" s="54"/>
    </row>
    <row r="574" spans="1:25">
      <c r="A574" s="2"/>
      <c r="B574" s="16"/>
      <c r="C574" s="14"/>
      <c r="D574" s="6"/>
      <c r="G574" s="9"/>
      <c r="H574" s="10"/>
      <c r="I574" s="8"/>
      <c r="J574" s="9"/>
      <c r="K574" s="8"/>
      <c r="Q574" s="11"/>
      <c r="R574" s="54"/>
    </row>
    <row r="575" spans="1:25">
      <c r="A575" s="2"/>
      <c r="B575" s="16"/>
      <c r="D575" s="6"/>
      <c r="G575" s="9"/>
      <c r="H575" s="10"/>
      <c r="I575" s="8"/>
      <c r="J575" s="9"/>
      <c r="K575" s="8"/>
      <c r="Q575" s="11"/>
      <c r="R575" s="54"/>
    </row>
    <row r="576" spans="1:25">
      <c r="A576" s="2"/>
      <c r="B576" s="16"/>
      <c r="C576" s="14"/>
      <c r="D576" s="6"/>
      <c r="G576" s="9"/>
      <c r="H576" s="10"/>
      <c r="I576" s="8"/>
      <c r="J576" s="9"/>
      <c r="K576" s="8"/>
      <c r="Q576" s="11"/>
      <c r="R576" s="54"/>
    </row>
    <row r="577" spans="1:18">
      <c r="A577" s="2"/>
      <c r="B577" s="16"/>
      <c r="C577" s="14"/>
      <c r="D577" s="6"/>
      <c r="G577" s="9"/>
      <c r="H577" s="10"/>
      <c r="I577" s="8"/>
      <c r="J577" s="9"/>
      <c r="K577" s="8"/>
      <c r="Q577" s="11"/>
      <c r="R577" s="54"/>
    </row>
    <row r="578" spans="1:18">
      <c r="A578" s="2"/>
      <c r="B578" s="16"/>
      <c r="D578" s="6"/>
      <c r="G578" s="9"/>
      <c r="H578" s="10"/>
      <c r="I578" s="8"/>
      <c r="J578" s="9"/>
      <c r="K578" s="8"/>
      <c r="Q578" s="11"/>
      <c r="R578" s="54"/>
    </row>
    <row r="579" spans="1:18">
      <c r="A579" s="2"/>
      <c r="B579" s="16"/>
      <c r="D579" s="6"/>
      <c r="G579" s="9"/>
      <c r="H579" s="10"/>
      <c r="I579" s="8"/>
      <c r="J579" s="9"/>
      <c r="K579" s="8"/>
      <c r="Q579" s="11"/>
      <c r="R579" s="54"/>
    </row>
    <row r="580" spans="1:18">
      <c r="A580" s="2"/>
      <c r="B580" s="16"/>
      <c r="C580" s="14"/>
      <c r="D580" s="6"/>
      <c r="G580" s="9"/>
      <c r="H580" s="10"/>
      <c r="I580" s="8"/>
      <c r="J580" s="9"/>
      <c r="K580" s="8"/>
      <c r="Q580" s="11"/>
      <c r="R580" s="54"/>
    </row>
    <row r="581" spans="1:18">
      <c r="A581" s="2"/>
      <c r="B581" s="16"/>
      <c r="C581" s="14"/>
      <c r="D581" s="6"/>
      <c r="G581" s="9"/>
      <c r="H581" s="10"/>
      <c r="I581" s="8"/>
      <c r="J581" s="9"/>
      <c r="K581" s="8"/>
      <c r="Q581" s="11"/>
      <c r="R581" s="54"/>
    </row>
    <row r="582" spans="1:18">
      <c r="A582" s="2"/>
      <c r="B582" s="16"/>
      <c r="C582" s="14"/>
      <c r="D582" s="6"/>
      <c r="G582" s="9"/>
      <c r="H582" s="10"/>
      <c r="I582" s="8"/>
      <c r="J582" s="9"/>
      <c r="K582" s="8"/>
      <c r="Q582" s="11"/>
      <c r="R582" s="54"/>
    </row>
    <row r="583" spans="1:18">
      <c r="A583" s="2"/>
      <c r="B583" s="16"/>
      <c r="C583" s="14"/>
      <c r="D583" s="6"/>
      <c r="G583" s="9"/>
      <c r="H583" s="10"/>
      <c r="I583" s="8"/>
      <c r="J583" s="9"/>
      <c r="K583" s="8"/>
      <c r="Q583" s="11"/>
      <c r="R583" s="54"/>
    </row>
    <row r="584" spans="1:18">
      <c r="A584" s="2"/>
      <c r="B584" s="16"/>
      <c r="C584" s="14"/>
      <c r="D584" s="6"/>
      <c r="G584" s="9"/>
      <c r="H584" s="10"/>
      <c r="I584" s="8"/>
      <c r="J584" s="9"/>
      <c r="K584" s="8"/>
      <c r="Q584" s="11"/>
      <c r="R584" s="54"/>
    </row>
    <row r="585" spans="1:18">
      <c r="A585" s="2"/>
      <c r="B585" s="16"/>
      <c r="D585" s="6"/>
      <c r="G585" s="9"/>
      <c r="H585" s="10"/>
      <c r="I585" s="8"/>
      <c r="J585" s="9"/>
      <c r="K585" s="8"/>
      <c r="Q585" s="11"/>
      <c r="R585" s="54"/>
    </row>
    <row r="586" spans="1:18">
      <c r="A586" s="2"/>
      <c r="B586" s="16"/>
      <c r="C586" s="14"/>
      <c r="D586" s="6"/>
      <c r="G586" s="9"/>
      <c r="H586" s="10"/>
      <c r="I586" s="8"/>
      <c r="J586" s="9"/>
      <c r="K586" s="8"/>
      <c r="Q586" s="11"/>
      <c r="R586" s="54"/>
    </row>
    <row r="587" spans="1:18">
      <c r="A587" s="2"/>
      <c r="B587" s="16"/>
      <c r="C587" s="14"/>
      <c r="D587" s="6"/>
      <c r="G587" s="9"/>
      <c r="H587" s="10"/>
      <c r="I587" s="8"/>
      <c r="J587" s="9"/>
      <c r="K587" s="8"/>
      <c r="Q587" s="11"/>
      <c r="R587" s="54"/>
    </row>
    <row r="588" spans="1:18">
      <c r="A588" s="2"/>
      <c r="B588" s="16"/>
      <c r="C588" s="14"/>
      <c r="D588" s="6"/>
      <c r="G588" s="9"/>
      <c r="H588" s="10"/>
      <c r="I588" s="8"/>
      <c r="J588" s="9"/>
      <c r="K588" s="8"/>
      <c r="Q588" s="11"/>
      <c r="R588" s="54"/>
    </row>
    <row r="589" spans="1:18">
      <c r="A589" s="2"/>
      <c r="B589" s="16"/>
      <c r="C589" s="14"/>
      <c r="D589" s="6"/>
      <c r="G589" s="9"/>
      <c r="H589" s="10"/>
      <c r="I589" s="8"/>
      <c r="J589" s="9"/>
      <c r="K589" s="8"/>
      <c r="Q589" s="11"/>
      <c r="R589" s="54"/>
    </row>
    <row r="590" spans="1:18">
      <c r="A590" s="2"/>
      <c r="B590" s="16"/>
      <c r="C590" s="14"/>
      <c r="D590" s="6"/>
      <c r="G590" s="9"/>
      <c r="H590" s="10"/>
      <c r="I590" s="8"/>
      <c r="J590" s="9"/>
      <c r="K590" s="8"/>
      <c r="Q590" s="11"/>
      <c r="R590" s="54"/>
    </row>
    <row r="591" spans="1:18">
      <c r="A591" s="2"/>
      <c r="B591" s="16"/>
      <c r="C591" s="14"/>
      <c r="D591" s="6"/>
      <c r="G591" s="9"/>
      <c r="H591" s="10"/>
      <c r="I591" s="8"/>
      <c r="J591" s="9"/>
      <c r="K591" s="8"/>
      <c r="Q591" s="11"/>
      <c r="R591" s="54"/>
    </row>
    <row r="592" spans="1:18">
      <c r="A592" s="2"/>
      <c r="B592" s="16"/>
      <c r="C592" s="14"/>
      <c r="D592" s="6"/>
      <c r="G592" s="9"/>
      <c r="H592" s="10"/>
      <c r="I592" s="8"/>
      <c r="J592" s="9"/>
      <c r="K592" s="8"/>
      <c r="Q592" s="11"/>
      <c r="R592" s="54"/>
    </row>
    <row r="593" spans="1:25">
      <c r="A593" s="2"/>
      <c r="B593" s="16"/>
      <c r="C593" s="14"/>
      <c r="D593" s="6"/>
      <c r="G593" s="9"/>
      <c r="H593" s="10"/>
      <c r="I593" s="8"/>
      <c r="J593" s="9"/>
      <c r="K593" s="8"/>
      <c r="Q593" s="11"/>
      <c r="R593" s="54"/>
    </row>
    <row r="594" spans="1:25">
      <c r="A594" s="2"/>
      <c r="B594" s="16"/>
      <c r="C594" s="14"/>
      <c r="D594" s="6"/>
      <c r="G594" s="9"/>
      <c r="H594" s="10"/>
      <c r="I594" s="8"/>
      <c r="J594" s="9"/>
      <c r="K594" s="8"/>
      <c r="Q594" s="11"/>
      <c r="R594" s="54"/>
    </row>
    <row r="595" spans="1:25">
      <c r="A595" s="2"/>
      <c r="B595" s="16"/>
      <c r="C595" s="14"/>
      <c r="D595" s="6"/>
      <c r="G595" s="9"/>
      <c r="H595" s="10"/>
      <c r="I595" s="8"/>
      <c r="J595" s="9"/>
      <c r="K595" s="8"/>
      <c r="Q595" s="11"/>
      <c r="R595" s="54"/>
    </row>
    <row r="596" spans="1:25">
      <c r="A596" s="2"/>
      <c r="B596" s="16"/>
      <c r="C596" s="14"/>
      <c r="D596" s="6"/>
      <c r="G596" s="9"/>
      <c r="H596" s="10"/>
      <c r="I596" s="8"/>
      <c r="J596" s="9"/>
      <c r="K596" s="8"/>
      <c r="Q596" s="11"/>
      <c r="R596" s="54"/>
    </row>
    <row r="597" spans="1:25">
      <c r="A597" s="2"/>
      <c r="B597" s="16"/>
      <c r="D597" s="6"/>
      <c r="G597" s="9"/>
      <c r="H597" s="10"/>
      <c r="I597" s="8"/>
      <c r="J597" s="9"/>
      <c r="K597" s="8"/>
      <c r="Q597" s="11"/>
      <c r="R597" s="54"/>
    </row>
    <row r="598" spans="1:25">
      <c r="A598" s="2"/>
      <c r="B598" s="16"/>
      <c r="D598" s="6"/>
      <c r="G598" s="9"/>
      <c r="H598" s="10"/>
      <c r="I598" s="8"/>
      <c r="J598" s="9"/>
      <c r="K598" s="8"/>
      <c r="Q598" s="11"/>
      <c r="R598" s="54"/>
    </row>
    <row r="599" spans="1:25">
      <c r="A599" s="2"/>
      <c r="B599" s="16"/>
      <c r="C599" s="14"/>
      <c r="D599" s="6"/>
      <c r="G599" s="9"/>
      <c r="H599" s="10"/>
      <c r="I599" s="8"/>
      <c r="J599" s="9"/>
      <c r="K599" s="8"/>
      <c r="Q599" s="11"/>
      <c r="R599" s="54"/>
      <c r="Y599" s="5"/>
    </row>
    <row r="600" spans="1:25">
      <c r="A600" s="2"/>
      <c r="B600" s="16"/>
      <c r="C600" s="14"/>
      <c r="D600" s="6"/>
      <c r="G600" s="9"/>
      <c r="H600" s="10"/>
      <c r="I600" s="8"/>
      <c r="J600" s="9"/>
      <c r="K600" s="8"/>
      <c r="Q600" s="11"/>
      <c r="R600" s="54"/>
      <c r="Y600" s="5"/>
    </row>
    <row r="601" spans="1:25">
      <c r="A601" s="2"/>
      <c r="B601" s="16"/>
      <c r="D601" s="6"/>
      <c r="G601" s="9"/>
      <c r="H601" s="10"/>
      <c r="I601" s="8"/>
      <c r="J601" s="9"/>
      <c r="K601" s="8"/>
      <c r="Q601" s="11"/>
      <c r="R601" s="54"/>
    </row>
    <row r="602" spans="1:25">
      <c r="A602" s="2"/>
      <c r="B602" s="16"/>
      <c r="C602" s="14"/>
      <c r="D602" s="6"/>
      <c r="G602" s="9"/>
      <c r="H602" s="10"/>
      <c r="I602" s="8"/>
      <c r="J602" s="9"/>
      <c r="K602" s="8"/>
      <c r="Q602" s="11"/>
      <c r="R602" s="54"/>
    </row>
    <row r="603" spans="1:25">
      <c r="A603" s="2"/>
      <c r="B603" s="16"/>
      <c r="D603" s="6"/>
      <c r="G603" s="9"/>
      <c r="H603" s="10"/>
      <c r="I603" s="8"/>
      <c r="J603" s="9"/>
      <c r="K603" s="8"/>
      <c r="Q603" s="11"/>
      <c r="R603" s="54"/>
    </row>
    <row r="604" spans="1:25">
      <c r="A604" s="2"/>
      <c r="B604" s="16"/>
      <c r="D604" s="6"/>
      <c r="G604" s="9"/>
      <c r="H604" s="10"/>
      <c r="I604" s="8"/>
      <c r="J604" s="9"/>
      <c r="K604" s="8"/>
      <c r="Q604" s="11"/>
      <c r="R604" s="54"/>
    </row>
    <row r="605" spans="1:25">
      <c r="A605" s="2"/>
      <c r="B605" s="16"/>
      <c r="D605" s="6"/>
      <c r="G605" s="9"/>
      <c r="H605" s="10"/>
      <c r="I605" s="8"/>
      <c r="J605" s="9"/>
      <c r="K605" s="8"/>
      <c r="Q605" s="11"/>
      <c r="R605" s="54"/>
    </row>
    <row r="606" spans="1:25">
      <c r="A606" s="2"/>
      <c r="B606" s="16"/>
      <c r="D606" s="6"/>
      <c r="G606" s="9"/>
      <c r="H606" s="10"/>
      <c r="I606" s="8"/>
      <c r="J606" s="9"/>
      <c r="K606" s="8"/>
      <c r="Q606" s="11"/>
      <c r="R606" s="54"/>
    </row>
    <row r="607" spans="1:25">
      <c r="A607" s="2"/>
      <c r="B607" s="16"/>
      <c r="C607" s="14"/>
      <c r="D607" s="6"/>
      <c r="G607" s="9"/>
      <c r="H607" s="10"/>
      <c r="I607" s="8"/>
      <c r="J607" s="9"/>
      <c r="K607" s="8"/>
      <c r="Q607" s="11"/>
      <c r="R607" s="54"/>
    </row>
    <row r="608" spans="1:25">
      <c r="A608" s="2"/>
      <c r="B608" s="16"/>
      <c r="C608" s="14"/>
      <c r="D608" s="6"/>
      <c r="G608" s="9"/>
      <c r="H608" s="10"/>
      <c r="I608" s="8"/>
      <c r="J608" s="9"/>
      <c r="K608" s="8"/>
      <c r="Q608" s="11"/>
      <c r="R608" s="54"/>
    </row>
    <row r="609" spans="1:21">
      <c r="A609" s="2"/>
      <c r="B609" s="16"/>
      <c r="D609" s="6"/>
      <c r="G609" s="9"/>
      <c r="H609" s="10"/>
      <c r="I609" s="8"/>
      <c r="J609" s="9"/>
      <c r="K609" s="8"/>
      <c r="Q609" s="11"/>
      <c r="R609" s="54"/>
    </row>
    <row r="610" spans="1:21">
      <c r="A610" s="2"/>
      <c r="B610" s="16"/>
      <c r="D610" s="6"/>
      <c r="G610" s="9"/>
      <c r="H610" s="10"/>
      <c r="I610" s="8"/>
      <c r="J610" s="9"/>
      <c r="K610" s="8"/>
      <c r="Q610" s="11"/>
      <c r="R610" s="54"/>
    </row>
    <row r="611" spans="1:21">
      <c r="A611" s="2"/>
      <c r="B611" s="16"/>
      <c r="D611" s="6"/>
      <c r="G611" s="9"/>
      <c r="H611" s="10"/>
      <c r="I611" s="8"/>
      <c r="J611" s="9"/>
      <c r="K611" s="8"/>
      <c r="Q611" s="11"/>
      <c r="R611" s="54"/>
    </row>
    <row r="612" spans="1:21">
      <c r="A612" s="2"/>
      <c r="B612" s="16"/>
      <c r="C612" s="14"/>
      <c r="D612" s="6"/>
      <c r="G612" s="9"/>
      <c r="H612" s="10"/>
      <c r="I612" s="8"/>
      <c r="J612" s="9"/>
      <c r="K612" s="8"/>
      <c r="Q612" s="11"/>
      <c r="R612" s="54"/>
    </row>
    <row r="613" spans="1:21">
      <c r="A613" s="2"/>
      <c r="B613" s="16"/>
      <c r="C613" s="14"/>
      <c r="D613" s="6"/>
      <c r="G613" s="9"/>
      <c r="H613" s="10"/>
      <c r="I613" s="8"/>
      <c r="J613" s="9"/>
      <c r="K613" s="8"/>
      <c r="Q613" s="11"/>
      <c r="R613" s="54"/>
    </row>
    <row r="614" spans="1:21">
      <c r="A614" s="2"/>
      <c r="B614" s="16"/>
      <c r="C614" s="14"/>
      <c r="D614" s="6"/>
      <c r="G614" s="9"/>
      <c r="H614" s="10"/>
      <c r="I614" s="8"/>
      <c r="J614" s="9"/>
      <c r="K614" s="8"/>
      <c r="Q614" s="11"/>
      <c r="R614" s="54"/>
    </row>
    <row r="615" spans="1:21">
      <c r="A615" s="2"/>
      <c r="B615" s="16"/>
      <c r="D615" s="6"/>
      <c r="G615" s="9"/>
      <c r="H615" s="10"/>
      <c r="I615" s="8"/>
      <c r="J615" s="9"/>
      <c r="K615" s="8"/>
      <c r="Q615" s="11"/>
      <c r="R615" s="54"/>
    </row>
    <row r="616" spans="1:21">
      <c r="A616" s="2"/>
      <c r="B616" s="16"/>
      <c r="D616" s="6"/>
      <c r="E616" s="19"/>
      <c r="F616" s="20"/>
      <c r="G616" s="21"/>
      <c r="H616" s="22"/>
      <c r="I616" s="23"/>
      <c r="J616" s="21"/>
      <c r="K616" s="23"/>
      <c r="L616" s="24"/>
      <c r="M616" s="24"/>
      <c r="N616" s="24"/>
      <c r="O616" s="21"/>
      <c r="Q616" s="11"/>
      <c r="R616" s="54"/>
    </row>
    <row r="617" spans="1:21">
      <c r="A617" s="2"/>
      <c r="B617" s="16"/>
      <c r="C617" s="14"/>
      <c r="D617" s="6"/>
      <c r="G617" s="9"/>
      <c r="H617" s="10"/>
      <c r="I617" s="8"/>
      <c r="J617" s="9"/>
      <c r="K617" s="8"/>
      <c r="Q617" s="11"/>
      <c r="R617" s="54"/>
    </row>
    <row r="618" spans="1:21">
      <c r="A618" s="2"/>
      <c r="B618" s="16"/>
      <c r="C618" s="14"/>
      <c r="D618" s="6"/>
      <c r="G618" s="9"/>
      <c r="H618" s="10"/>
      <c r="I618" s="8"/>
      <c r="J618" s="9"/>
      <c r="K618" s="8"/>
      <c r="Q618" s="11"/>
      <c r="R618" s="54"/>
    </row>
    <row r="619" spans="1:21">
      <c r="A619" s="2"/>
      <c r="B619" s="16"/>
      <c r="C619" s="14"/>
      <c r="D619" s="6"/>
      <c r="E619" s="19"/>
      <c r="F619" s="20"/>
      <c r="G619" s="21"/>
      <c r="H619" s="22"/>
      <c r="I619" s="23"/>
      <c r="J619" s="21"/>
      <c r="K619" s="23"/>
      <c r="L619" s="24"/>
      <c r="M619" s="24"/>
      <c r="N619" s="24"/>
      <c r="O619" s="21"/>
      <c r="Q619" s="11"/>
      <c r="R619" s="54"/>
    </row>
    <row r="620" spans="1:21">
      <c r="A620" s="2"/>
      <c r="B620" s="16"/>
      <c r="C620" s="14"/>
      <c r="D620" s="6"/>
      <c r="E620" s="19"/>
      <c r="F620" s="20"/>
      <c r="G620" s="21"/>
      <c r="H620" s="22"/>
      <c r="I620" s="23"/>
      <c r="J620" s="21"/>
      <c r="K620" s="23"/>
      <c r="L620" s="24"/>
      <c r="M620" s="24"/>
      <c r="N620" s="24"/>
      <c r="O620" s="21"/>
      <c r="Q620" s="11"/>
      <c r="R620" s="54"/>
      <c r="S620" s="56"/>
      <c r="T620" s="57"/>
      <c r="U620" s="24"/>
    </row>
    <row r="621" spans="1:21">
      <c r="A621" s="2"/>
      <c r="B621" s="16"/>
      <c r="C621" s="14"/>
      <c r="D621" s="6"/>
      <c r="E621" s="19"/>
      <c r="F621" s="20"/>
      <c r="G621" s="21"/>
      <c r="H621" s="22"/>
      <c r="I621" s="23"/>
      <c r="J621" s="21"/>
      <c r="K621" s="23"/>
      <c r="L621" s="24"/>
      <c r="M621" s="24"/>
      <c r="N621" s="24"/>
      <c r="O621" s="21"/>
      <c r="Q621" s="11"/>
      <c r="R621" s="54"/>
      <c r="S621" s="56"/>
      <c r="T621" s="57"/>
      <c r="U621" s="24"/>
    </row>
    <row r="622" spans="1:21">
      <c r="A622" s="2"/>
      <c r="B622" s="16"/>
      <c r="C622" s="14"/>
      <c r="D622" s="6"/>
      <c r="E622" s="19"/>
      <c r="F622" s="20"/>
      <c r="G622" s="21"/>
      <c r="H622" s="22"/>
      <c r="I622" s="23"/>
      <c r="J622" s="21"/>
      <c r="K622" s="23"/>
      <c r="L622" s="24"/>
      <c r="M622" s="24"/>
      <c r="N622" s="24"/>
      <c r="O622" s="21"/>
      <c r="Q622" s="11"/>
      <c r="R622" s="54"/>
      <c r="S622" s="56"/>
      <c r="T622" s="57"/>
      <c r="U622" s="24"/>
    </row>
    <row r="623" spans="1:21">
      <c r="A623" s="2"/>
      <c r="B623" s="16"/>
      <c r="D623" s="6"/>
      <c r="G623" s="9"/>
      <c r="H623" s="10"/>
      <c r="I623" s="8"/>
      <c r="J623" s="9"/>
      <c r="K623" s="8"/>
      <c r="Q623" s="11"/>
      <c r="R623" s="54"/>
    </row>
    <row r="624" spans="1:21">
      <c r="A624" s="2"/>
      <c r="B624" s="16"/>
      <c r="C624" s="14"/>
      <c r="D624" s="6"/>
      <c r="G624" s="9"/>
      <c r="H624" s="10"/>
      <c r="I624" s="8"/>
      <c r="J624" s="9"/>
      <c r="K624" s="8"/>
      <c r="Q624" s="11"/>
      <c r="R624" s="54"/>
    </row>
    <row r="625" spans="1:18">
      <c r="A625" s="2"/>
      <c r="B625" s="16"/>
      <c r="D625" s="6"/>
      <c r="G625" s="9"/>
      <c r="H625" s="10"/>
      <c r="I625" s="8"/>
      <c r="J625" s="9"/>
      <c r="K625" s="8"/>
      <c r="Q625" s="11"/>
      <c r="R625" s="54"/>
    </row>
    <row r="626" spans="1:18">
      <c r="A626" s="2"/>
      <c r="B626" s="16"/>
      <c r="D626" s="6"/>
      <c r="G626" s="9"/>
      <c r="H626" s="10"/>
      <c r="I626" s="8"/>
      <c r="J626" s="9"/>
      <c r="K626" s="8"/>
      <c r="Q626" s="11"/>
      <c r="R626" s="54"/>
    </row>
    <row r="627" spans="1:18">
      <c r="A627" s="2"/>
      <c r="B627" s="16"/>
      <c r="C627" s="14"/>
      <c r="D627" s="6"/>
      <c r="G627" s="9"/>
      <c r="H627" s="10"/>
      <c r="I627" s="8"/>
      <c r="J627" s="9"/>
      <c r="K627" s="8"/>
      <c r="Q627" s="11"/>
      <c r="R627" s="54"/>
    </row>
    <row r="628" spans="1:18">
      <c r="A628" s="2"/>
      <c r="B628" s="16"/>
      <c r="C628" s="14"/>
      <c r="D628" s="6"/>
      <c r="G628" s="9"/>
      <c r="H628" s="10"/>
      <c r="I628" s="8"/>
      <c r="J628" s="9"/>
      <c r="K628" s="8"/>
      <c r="Q628" s="11"/>
      <c r="R628" s="54"/>
    </row>
    <row r="629" spans="1:18">
      <c r="A629" s="2"/>
      <c r="B629" s="16"/>
      <c r="C629" s="14"/>
      <c r="D629" s="6"/>
      <c r="G629" s="9"/>
      <c r="H629" s="10"/>
      <c r="I629" s="8"/>
      <c r="J629" s="9"/>
      <c r="K629" s="8"/>
      <c r="Q629" s="11"/>
      <c r="R629" s="54"/>
    </row>
    <row r="630" spans="1:18">
      <c r="A630" s="2"/>
      <c r="B630" s="16"/>
      <c r="C630" s="14"/>
      <c r="D630" s="6"/>
      <c r="G630" s="9"/>
      <c r="H630" s="10"/>
      <c r="I630" s="8"/>
      <c r="J630" s="9"/>
      <c r="K630" s="8"/>
      <c r="Q630" s="11"/>
      <c r="R630" s="54"/>
    </row>
    <row r="631" spans="1:18">
      <c r="A631" s="2"/>
      <c r="B631" s="16"/>
      <c r="D631" s="6"/>
      <c r="G631" s="9"/>
      <c r="H631" s="10"/>
      <c r="I631" s="8"/>
      <c r="J631" s="9"/>
      <c r="K631" s="8"/>
      <c r="Q631" s="11"/>
      <c r="R631" s="54"/>
    </row>
    <row r="632" spans="1:18">
      <c r="A632" s="2"/>
      <c r="B632" s="16"/>
      <c r="C632" s="14"/>
      <c r="D632" s="6"/>
      <c r="G632" s="9"/>
      <c r="H632" s="10"/>
      <c r="I632" s="8"/>
      <c r="J632" s="9"/>
      <c r="K632" s="8"/>
      <c r="Q632" s="11"/>
      <c r="R632" s="54"/>
    </row>
    <row r="633" spans="1:18">
      <c r="A633" s="2"/>
      <c r="B633" s="16"/>
      <c r="C633" s="14"/>
      <c r="D633" s="6"/>
      <c r="G633" s="9"/>
      <c r="H633" s="10"/>
      <c r="I633" s="8"/>
      <c r="J633" s="9"/>
      <c r="K633" s="8"/>
      <c r="Q633" s="11"/>
      <c r="R633" s="54"/>
    </row>
    <row r="634" spans="1:18">
      <c r="A634" s="2"/>
      <c r="B634" s="16"/>
      <c r="C634" s="14"/>
      <c r="D634" s="6"/>
      <c r="G634" s="9"/>
      <c r="H634" s="10"/>
      <c r="I634" s="8"/>
      <c r="J634" s="9"/>
      <c r="K634" s="8"/>
      <c r="Q634" s="11"/>
      <c r="R634" s="54"/>
    </row>
    <row r="635" spans="1:18">
      <c r="A635" s="2"/>
      <c r="B635" s="16"/>
      <c r="C635" s="14"/>
      <c r="D635" s="6"/>
      <c r="G635" s="9"/>
      <c r="H635" s="10"/>
      <c r="I635" s="8"/>
      <c r="J635" s="9"/>
      <c r="K635" s="8"/>
      <c r="Q635" s="11"/>
      <c r="R635" s="54"/>
    </row>
    <row r="636" spans="1:18">
      <c r="A636" s="2"/>
      <c r="B636" s="16"/>
      <c r="C636" s="14"/>
      <c r="D636" s="6"/>
      <c r="G636" s="9"/>
      <c r="H636" s="10"/>
      <c r="I636" s="8"/>
      <c r="J636" s="9"/>
      <c r="K636" s="8"/>
      <c r="Q636" s="11"/>
      <c r="R636" s="54"/>
    </row>
    <row r="637" spans="1:18">
      <c r="A637" s="2"/>
      <c r="B637" s="16"/>
      <c r="D637" s="6"/>
      <c r="G637" s="9"/>
      <c r="H637" s="10"/>
      <c r="I637" s="8"/>
      <c r="J637" s="9"/>
      <c r="K637" s="8"/>
      <c r="Q637" s="11"/>
      <c r="R637" s="54"/>
    </row>
    <row r="638" spans="1:18">
      <c r="A638" s="2"/>
      <c r="B638" s="16"/>
      <c r="D638" s="6"/>
      <c r="G638" s="9"/>
      <c r="H638" s="10"/>
      <c r="I638" s="8"/>
      <c r="J638" s="9"/>
      <c r="K638" s="8"/>
      <c r="Q638" s="11"/>
      <c r="R638" s="54"/>
    </row>
    <row r="639" spans="1:18">
      <c r="A639" s="2"/>
      <c r="B639" s="16"/>
      <c r="D639" s="6"/>
      <c r="G639" s="9"/>
      <c r="H639" s="10"/>
      <c r="I639" s="8"/>
      <c r="J639" s="9"/>
      <c r="K639" s="8"/>
      <c r="Q639" s="11"/>
      <c r="R639" s="54"/>
    </row>
    <row r="640" spans="1:18">
      <c r="A640" s="2"/>
      <c r="B640" s="16"/>
      <c r="D640" s="6"/>
      <c r="G640" s="9"/>
      <c r="H640" s="10"/>
      <c r="I640" s="8"/>
      <c r="J640" s="9"/>
      <c r="K640" s="8"/>
      <c r="Q640" s="11"/>
      <c r="R640" s="54"/>
    </row>
    <row r="641" spans="1:18">
      <c r="A641" s="2"/>
      <c r="B641" s="16"/>
      <c r="D641" s="6"/>
      <c r="G641" s="9"/>
      <c r="H641" s="10"/>
      <c r="I641" s="8"/>
      <c r="J641" s="9"/>
      <c r="K641" s="8"/>
      <c r="Q641" s="11"/>
      <c r="R641" s="54"/>
    </row>
    <row r="642" spans="1:18">
      <c r="A642" s="2"/>
      <c r="B642" s="16"/>
      <c r="D642" s="6"/>
      <c r="G642" s="9"/>
      <c r="H642" s="10"/>
      <c r="I642" s="8"/>
      <c r="J642" s="9"/>
      <c r="K642" s="8"/>
      <c r="Q642" s="11"/>
      <c r="R642" s="54"/>
    </row>
    <row r="643" spans="1:18">
      <c r="A643" s="2"/>
      <c r="B643" s="16"/>
      <c r="D643" s="6"/>
      <c r="G643" s="9"/>
      <c r="H643" s="10"/>
      <c r="I643" s="8"/>
      <c r="J643" s="9"/>
      <c r="K643" s="8"/>
      <c r="Q643" s="11"/>
      <c r="R643" s="54"/>
    </row>
    <row r="644" spans="1:18">
      <c r="A644" s="2"/>
      <c r="B644" s="16"/>
      <c r="D644" s="6"/>
      <c r="G644" s="9"/>
      <c r="H644" s="10"/>
      <c r="I644" s="8"/>
      <c r="J644" s="9"/>
      <c r="K644" s="8"/>
      <c r="Q644" s="11"/>
      <c r="R644" s="54"/>
    </row>
    <row r="645" spans="1:18">
      <c r="A645" s="2"/>
      <c r="B645" s="16"/>
      <c r="C645" s="14"/>
      <c r="D645" s="6"/>
      <c r="G645" s="9"/>
      <c r="H645" s="10"/>
      <c r="I645" s="8"/>
      <c r="J645" s="9"/>
      <c r="K645" s="8"/>
      <c r="Q645" s="11"/>
      <c r="R645" s="54"/>
    </row>
    <row r="646" spans="1:18">
      <c r="A646" s="2"/>
      <c r="B646" s="16"/>
      <c r="C646" s="14"/>
      <c r="D646" s="6"/>
      <c r="G646" s="9"/>
      <c r="H646" s="10"/>
      <c r="I646" s="8"/>
      <c r="J646" s="9"/>
      <c r="K646" s="8"/>
      <c r="Q646" s="11"/>
      <c r="R646" s="54"/>
    </row>
    <row r="647" spans="1:18">
      <c r="A647" s="2"/>
      <c r="B647" s="16"/>
      <c r="D647" s="6"/>
      <c r="G647" s="9"/>
      <c r="H647" s="10"/>
      <c r="I647" s="8"/>
      <c r="J647" s="9"/>
      <c r="K647" s="8"/>
      <c r="Q647" s="11"/>
      <c r="R647" s="54"/>
    </row>
    <row r="648" spans="1:18">
      <c r="A648" s="2"/>
      <c r="B648" s="16"/>
      <c r="D648" s="6"/>
      <c r="G648" s="9"/>
      <c r="H648" s="10"/>
      <c r="I648" s="8"/>
      <c r="J648" s="9"/>
      <c r="K648" s="8"/>
      <c r="Q648" s="11"/>
      <c r="R648" s="54"/>
    </row>
    <row r="649" spans="1:18">
      <c r="A649" s="2"/>
      <c r="B649" s="16"/>
      <c r="D649" s="6"/>
      <c r="G649" s="9"/>
      <c r="H649" s="10"/>
      <c r="I649" s="8"/>
      <c r="J649" s="9"/>
      <c r="K649" s="8"/>
      <c r="Q649" s="11"/>
      <c r="R649" s="54"/>
    </row>
    <row r="650" spans="1:18">
      <c r="A650" s="2"/>
      <c r="B650" s="16"/>
      <c r="D650" s="6"/>
      <c r="G650" s="9"/>
      <c r="H650" s="10"/>
      <c r="I650" s="8"/>
      <c r="J650" s="9"/>
      <c r="K650" s="8"/>
      <c r="Q650" s="11"/>
      <c r="R650" s="54"/>
    </row>
    <row r="651" spans="1:18">
      <c r="A651" s="2"/>
      <c r="B651" s="16"/>
      <c r="D651" s="6"/>
      <c r="G651" s="9"/>
      <c r="H651" s="10"/>
      <c r="I651" s="8"/>
      <c r="J651" s="9"/>
      <c r="K651" s="8"/>
      <c r="Q651" s="11"/>
      <c r="R651" s="54"/>
    </row>
    <row r="652" spans="1:18">
      <c r="A652" s="2"/>
      <c r="B652" s="16"/>
      <c r="D652" s="6"/>
      <c r="G652" s="9"/>
      <c r="H652" s="10"/>
      <c r="I652" s="8"/>
      <c r="J652" s="9"/>
      <c r="K652" s="8"/>
      <c r="Q652" s="11"/>
      <c r="R652" s="54"/>
    </row>
    <row r="653" spans="1:18">
      <c r="A653" s="2"/>
      <c r="B653" s="16"/>
      <c r="D653" s="6"/>
      <c r="G653" s="9"/>
      <c r="H653" s="10"/>
      <c r="I653" s="8"/>
      <c r="J653" s="9"/>
      <c r="K653" s="8"/>
      <c r="Q653" s="11"/>
      <c r="R653" s="54"/>
    </row>
    <row r="654" spans="1:18">
      <c r="A654" s="2"/>
      <c r="B654" s="16"/>
      <c r="C654" s="14"/>
      <c r="D654" s="6"/>
      <c r="G654" s="9"/>
      <c r="H654" s="10"/>
      <c r="I654" s="8"/>
      <c r="J654" s="9"/>
      <c r="K654" s="8"/>
      <c r="Q654" s="11"/>
      <c r="R654" s="54"/>
    </row>
    <row r="655" spans="1:18">
      <c r="A655" s="2"/>
      <c r="B655" s="16"/>
      <c r="C655" s="14"/>
      <c r="D655" s="6"/>
      <c r="G655" s="9"/>
      <c r="H655" s="10"/>
      <c r="I655" s="8"/>
      <c r="J655" s="9"/>
      <c r="K655" s="8"/>
      <c r="Q655" s="11"/>
      <c r="R655" s="54"/>
    </row>
    <row r="656" spans="1:18">
      <c r="A656" s="2"/>
      <c r="B656" s="16"/>
      <c r="C656" s="14"/>
      <c r="D656" s="6"/>
      <c r="G656" s="9"/>
      <c r="H656" s="10"/>
      <c r="I656" s="8"/>
      <c r="J656" s="9"/>
      <c r="K656" s="8"/>
      <c r="Q656" s="11"/>
      <c r="R656" s="54"/>
    </row>
    <row r="657" spans="1:18">
      <c r="A657" s="2"/>
      <c r="B657" s="16"/>
      <c r="D657" s="6"/>
      <c r="G657" s="9"/>
      <c r="H657" s="10"/>
      <c r="I657" s="8"/>
      <c r="J657" s="9"/>
      <c r="K657" s="8"/>
      <c r="Q657" s="11"/>
      <c r="R657" s="54"/>
    </row>
    <row r="658" spans="1:18">
      <c r="A658" s="2"/>
      <c r="B658" s="16"/>
      <c r="C658" s="14"/>
      <c r="D658" s="6"/>
      <c r="G658" s="9"/>
      <c r="H658" s="10"/>
      <c r="I658" s="8"/>
      <c r="J658" s="9"/>
      <c r="K658" s="8"/>
      <c r="Q658" s="11"/>
      <c r="R658" s="54"/>
    </row>
    <row r="659" spans="1:18">
      <c r="A659" s="2"/>
      <c r="B659" s="16"/>
      <c r="C659" s="14"/>
      <c r="D659" s="6"/>
      <c r="G659" s="9"/>
      <c r="H659" s="10"/>
      <c r="I659" s="8"/>
      <c r="J659" s="9"/>
      <c r="K659" s="8"/>
      <c r="Q659" s="11"/>
      <c r="R659" s="54"/>
    </row>
    <row r="660" spans="1:18">
      <c r="A660" s="2"/>
      <c r="B660" s="16"/>
      <c r="C660" s="14"/>
      <c r="D660" s="6"/>
      <c r="G660" s="9"/>
      <c r="H660" s="10"/>
      <c r="I660" s="8"/>
      <c r="J660" s="9"/>
      <c r="K660" s="8"/>
      <c r="Q660" s="11"/>
      <c r="R660" s="54"/>
    </row>
    <row r="661" spans="1:18">
      <c r="A661" s="2"/>
      <c r="B661" s="16"/>
      <c r="D661" s="6"/>
      <c r="G661" s="9"/>
      <c r="H661" s="10"/>
      <c r="I661" s="8"/>
      <c r="J661" s="9"/>
      <c r="K661" s="8"/>
      <c r="Q661" s="11"/>
      <c r="R661" s="54"/>
    </row>
    <row r="662" spans="1:18">
      <c r="A662" s="2"/>
      <c r="B662" s="16"/>
      <c r="D662" s="6"/>
      <c r="G662" s="9"/>
      <c r="H662" s="10"/>
      <c r="I662" s="8"/>
      <c r="J662" s="9"/>
      <c r="K662" s="8"/>
      <c r="Q662" s="11"/>
      <c r="R662" s="54"/>
    </row>
    <row r="663" spans="1:18">
      <c r="A663" s="2"/>
      <c r="B663" s="16"/>
      <c r="D663" s="6"/>
      <c r="G663" s="9"/>
      <c r="H663" s="10"/>
      <c r="I663" s="8"/>
      <c r="J663" s="9"/>
      <c r="K663" s="8"/>
      <c r="Q663" s="11"/>
      <c r="R663" s="54"/>
    </row>
    <row r="664" spans="1:18">
      <c r="A664" s="2"/>
      <c r="B664" s="16"/>
      <c r="D664" s="6"/>
      <c r="G664" s="9"/>
      <c r="H664" s="10"/>
      <c r="I664" s="8"/>
      <c r="J664" s="9"/>
      <c r="K664" s="8"/>
      <c r="Q664" s="11"/>
      <c r="R664" s="54"/>
    </row>
    <row r="665" spans="1:18">
      <c r="A665" s="2"/>
      <c r="B665" s="16"/>
      <c r="D665" s="6"/>
      <c r="G665" s="9"/>
      <c r="H665" s="10"/>
      <c r="I665" s="8"/>
      <c r="J665" s="9"/>
      <c r="K665" s="8"/>
      <c r="Q665" s="11"/>
      <c r="R665" s="54"/>
    </row>
    <row r="666" spans="1:18">
      <c r="A666" s="2"/>
      <c r="B666" s="16"/>
      <c r="D666" s="6"/>
      <c r="G666" s="9"/>
      <c r="H666" s="10"/>
      <c r="I666" s="8"/>
      <c r="J666" s="9"/>
      <c r="K666" s="8"/>
      <c r="Q666" s="11"/>
      <c r="R666" s="54"/>
    </row>
    <row r="667" spans="1:18">
      <c r="A667" s="2"/>
      <c r="B667" s="16"/>
      <c r="C667" s="14"/>
      <c r="D667" s="6"/>
      <c r="E667" s="64"/>
      <c r="F667" s="65"/>
      <c r="G667" s="66"/>
      <c r="H667" s="67"/>
      <c r="I667" s="68"/>
      <c r="J667" s="66"/>
      <c r="K667" s="68"/>
      <c r="L667" s="69"/>
      <c r="M667" s="69"/>
      <c r="N667" s="69"/>
      <c r="O667" s="66"/>
      <c r="Q667" s="11"/>
      <c r="R667" s="54"/>
    </row>
    <row r="668" spans="1:18">
      <c r="A668" s="2"/>
      <c r="B668" s="16"/>
      <c r="C668" s="14"/>
      <c r="D668" s="6"/>
      <c r="E668" s="64"/>
      <c r="F668" s="65"/>
      <c r="G668" s="66"/>
      <c r="H668" s="67"/>
      <c r="I668" s="68"/>
      <c r="J668" s="66"/>
      <c r="K668" s="68"/>
      <c r="L668" s="69"/>
      <c r="M668" s="69"/>
      <c r="N668" s="69"/>
      <c r="O668" s="66"/>
      <c r="Q668" s="11"/>
      <c r="R668" s="54"/>
    </row>
    <row r="669" spans="1:18">
      <c r="A669" s="2"/>
      <c r="B669" s="16"/>
      <c r="C669" s="14"/>
      <c r="D669" s="6"/>
      <c r="E669" s="64"/>
      <c r="F669" s="65"/>
      <c r="G669" s="66"/>
      <c r="H669" s="67"/>
      <c r="I669" s="68"/>
      <c r="J669" s="66"/>
      <c r="K669" s="68"/>
      <c r="L669" s="69"/>
      <c r="M669" s="69"/>
      <c r="N669" s="69"/>
      <c r="O669" s="66"/>
      <c r="Q669" s="11"/>
      <c r="R669" s="54"/>
    </row>
    <row r="670" spans="1:18">
      <c r="A670" s="2"/>
      <c r="B670" s="16"/>
      <c r="C670" s="14"/>
      <c r="D670" s="6"/>
      <c r="E670" s="64"/>
      <c r="F670" s="65"/>
      <c r="G670" s="66"/>
      <c r="H670" s="67"/>
      <c r="I670" s="68"/>
      <c r="J670" s="66"/>
      <c r="K670" s="68"/>
      <c r="L670" s="69"/>
      <c r="M670" s="69"/>
      <c r="N670" s="69"/>
      <c r="Q670" s="11"/>
      <c r="R670" s="54"/>
    </row>
    <row r="671" spans="1:18">
      <c r="A671" s="2"/>
      <c r="B671" s="16"/>
      <c r="C671" s="14"/>
      <c r="D671" s="6"/>
      <c r="G671" s="9"/>
      <c r="H671" s="10"/>
      <c r="I671" s="8"/>
      <c r="J671" s="9"/>
      <c r="K671" s="8"/>
      <c r="Q671" s="11"/>
      <c r="R671" s="54"/>
    </row>
    <row r="672" spans="1:18">
      <c r="A672" s="2"/>
      <c r="B672" s="16"/>
      <c r="C672" s="14"/>
      <c r="D672" s="6"/>
      <c r="G672" s="9"/>
      <c r="H672" s="10"/>
      <c r="I672" s="8"/>
      <c r="J672" s="9"/>
      <c r="K672" s="8"/>
      <c r="Q672" s="11"/>
      <c r="R672" s="54"/>
    </row>
    <row r="673" spans="1:18">
      <c r="A673" s="2"/>
      <c r="B673" s="16"/>
      <c r="C673" s="14"/>
      <c r="D673" s="6"/>
      <c r="G673" s="9"/>
      <c r="H673" s="10"/>
      <c r="I673" s="8"/>
      <c r="J673" s="9"/>
      <c r="K673" s="8"/>
      <c r="Q673" s="11"/>
      <c r="R673" s="54"/>
    </row>
    <row r="674" spans="1:18">
      <c r="A674" s="2"/>
      <c r="B674" s="16"/>
      <c r="C674" s="14"/>
      <c r="D674" s="6"/>
      <c r="G674" s="9"/>
      <c r="H674" s="10"/>
      <c r="I674" s="8"/>
      <c r="J674" s="9"/>
      <c r="K674" s="8"/>
      <c r="Q674" s="11"/>
      <c r="R674" s="54"/>
    </row>
    <row r="675" spans="1:18">
      <c r="A675" s="2"/>
      <c r="B675" s="16"/>
      <c r="C675" s="14"/>
      <c r="D675" s="6"/>
      <c r="G675" s="9"/>
      <c r="H675" s="10"/>
      <c r="I675" s="8"/>
      <c r="J675" s="9"/>
      <c r="K675" s="8"/>
      <c r="Q675" s="11"/>
      <c r="R675" s="54"/>
    </row>
    <row r="676" spans="1:18">
      <c r="A676" s="2"/>
      <c r="B676" s="16"/>
      <c r="C676" s="14"/>
      <c r="D676" s="6"/>
      <c r="G676" s="9"/>
      <c r="H676" s="10"/>
      <c r="I676" s="8"/>
      <c r="J676" s="9"/>
      <c r="K676" s="8"/>
      <c r="Q676" s="11"/>
      <c r="R676" s="54"/>
    </row>
    <row r="677" spans="1:18">
      <c r="A677" s="2"/>
      <c r="B677" s="16"/>
      <c r="D677" s="6"/>
      <c r="G677" s="9"/>
      <c r="H677" s="10"/>
      <c r="I677" s="8"/>
      <c r="J677" s="9"/>
      <c r="K677" s="8"/>
      <c r="Q677" s="11"/>
      <c r="R677" s="54"/>
    </row>
    <row r="678" spans="1:18">
      <c r="A678" s="2"/>
      <c r="B678" s="16"/>
      <c r="C678" s="14"/>
      <c r="D678" s="6"/>
      <c r="G678" s="9"/>
      <c r="H678" s="10"/>
      <c r="I678" s="8"/>
      <c r="J678" s="9"/>
      <c r="K678" s="8"/>
      <c r="Q678" s="11"/>
      <c r="R678" s="54"/>
    </row>
    <row r="679" spans="1:18">
      <c r="A679" s="2"/>
      <c r="B679" s="16"/>
      <c r="C679" s="14"/>
      <c r="D679" s="6"/>
      <c r="G679" s="9"/>
      <c r="H679" s="10"/>
      <c r="I679" s="8"/>
      <c r="J679" s="9"/>
      <c r="K679" s="8"/>
      <c r="Q679" s="11"/>
      <c r="R679" s="54"/>
    </row>
    <row r="680" spans="1:18">
      <c r="A680" s="2"/>
      <c r="B680" s="16"/>
      <c r="C680" s="14"/>
      <c r="D680" s="6"/>
      <c r="G680" s="9"/>
      <c r="H680" s="10"/>
      <c r="I680" s="8"/>
      <c r="J680" s="9"/>
      <c r="K680" s="8"/>
      <c r="Q680" s="11"/>
      <c r="R680" s="54"/>
    </row>
    <row r="681" spans="1:18">
      <c r="A681" s="2"/>
      <c r="B681" s="16"/>
      <c r="C681" s="14"/>
      <c r="D681" s="6"/>
      <c r="G681" s="9"/>
      <c r="H681" s="10"/>
      <c r="I681" s="8"/>
      <c r="J681" s="9"/>
      <c r="K681" s="8"/>
      <c r="Q681" s="11"/>
      <c r="R681" s="54"/>
    </row>
    <row r="682" spans="1:18">
      <c r="A682" s="2"/>
      <c r="B682" s="16"/>
      <c r="D682" s="6"/>
      <c r="G682" s="9"/>
      <c r="H682" s="10"/>
      <c r="I682" s="8"/>
      <c r="J682" s="9"/>
      <c r="K682" s="8"/>
      <c r="Q682" s="11"/>
      <c r="R682" s="54"/>
    </row>
    <row r="683" spans="1:18">
      <c r="A683" s="2"/>
      <c r="B683" s="16"/>
      <c r="D683" s="6"/>
      <c r="G683" s="9"/>
      <c r="H683" s="10"/>
      <c r="I683" s="8"/>
      <c r="J683" s="9"/>
      <c r="K683" s="8"/>
      <c r="Q683" s="11"/>
      <c r="R683" s="54"/>
    </row>
    <row r="684" spans="1:18">
      <c r="A684" s="2"/>
      <c r="B684" s="16"/>
      <c r="C684" s="14"/>
      <c r="D684" s="6"/>
      <c r="G684" s="9"/>
      <c r="H684" s="10"/>
      <c r="I684" s="8"/>
      <c r="J684" s="9"/>
      <c r="K684" s="8"/>
      <c r="Q684" s="11"/>
      <c r="R684" s="54"/>
    </row>
    <row r="685" spans="1:18">
      <c r="A685" s="2"/>
      <c r="B685" s="16"/>
      <c r="D685" s="6"/>
      <c r="G685" s="9"/>
      <c r="H685" s="10"/>
      <c r="I685" s="8"/>
      <c r="J685" s="9"/>
      <c r="K685" s="8"/>
      <c r="Q685" s="11"/>
      <c r="R685" s="54"/>
    </row>
    <row r="686" spans="1:18">
      <c r="A686" s="2"/>
      <c r="B686" s="16"/>
      <c r="C686" s="14"/>
      <c r="D686" s="6"/>
      <c r="G686" s="9"/>
      <c r="H686" s="10"/>
      <c r="I686" s="8"/>
      <c r="J686" s="9"/>
      <c r="K686" s="8"/>
      <c r="Q686" s="11"/>
      <c r="R686" s="54"/>
    </row>
    <row r="687" spans="1:18">
      <c r="A687" s="2"/>
      <c r="B687" s="16"/>
      <c r="D687" s="6"/>
      <c r="G687" s="9"/>
      <c r="H687" s="10"/>
      <c r="I687" s="8"/>
      <c r="J687" s="9"/>
      <c r="K687" s="8"/>
      <c r="Q687" s="11"/>
      <c r="R687" s="54"/>
    </row>
    <row r="688" spans="1:18">
      <c r="A688" s="2"/>
      <c r="B688" s="16"/>
      <c r="D688" s="6"/>
      <c r="G688" s="9"/>
      <c r="H688" s="10"/>
      <c r="I688" s="8"/>
      <c r="J688" s="9"/>
      <c r="K688" s="8"/>
      <c r="Q688" s="11"/>
      <c r="R688" s="54"/>
    </row>
    <row r="689" spans="1:18">
      <c r="A689" s="2"/>
      <c r="B689" s="16"/>
      <c r="C689" s="14"/>
      <c r="D689" s="6"/>
      <c r="G689" s="9"/>
      <c r="H689" s="10"/>
      <c r="I689" s="8"/>
      <c r="J689" s="9"/>
      <c r="K689" s="8"/>
      <c r="Q689" s="11"/>
      <c r="R689" s="54"/>
    </row>
    <row r="690" spans="1:18">
      <c r="A690" s="2"/>
      <c r="B690" s="16"/>
      <c r="C690" s="14"/>
      <c r="D690" s="6"/>
      <c r="G690" s="9"/>
      <c r="H690" s="10"/>
      <c r="I690" s="8"/>
      <c r="J690" s="9"/>
      <c r="K690" s="8"/>
      <c r="Q690" s="11"/>
      <c r="R690" s="54"/>
    </row>
    <row r="691" spans="1:18">
      <c r="A691" s="2"/>
      <c r="B691" s="16"/>
      <c r="D691" s="6"/>
      <c r="G691" s="9"/>
      <c r="H691" s="10"/>
      <c r="I691" s="8"/>
      <c r="J691" s="9"/>
      <c r="K691" s="8"/>
      <c r="Q691" s="11"/>
      <c r="R691" s="54"/>
    </row>
    <row r="692" spans="1:18">
      <c r="A692" s="2"/>
      <c r="B692" s="16"/>
      <c r="D692" s="6"/>
      <c r="G692" s="9"/>
      <c r="H692" s="10"/>
      <c r="I692" s="8"/>
      <c r="J692" s="9"/>
      <c r="K692" s="8"/>
      <c r="Q692" s="11"/>
      <c r="R692" s="54"/>
    </row>
    <row r="693" spans="1:18">
      <c r="A693" s="2"/>
      <c r="B693" s="16"/>
      <c r="C693" s="14"/>
      <c r="D693" s="6"/>
      <c r="G693" s="9"/>
      <c r="H693" s="10"/>
      <c r="I693" s="8"/>
      <c r="J693" s="9"/>
      <c r="K693" s="8"/>
      <c r="Q693" s="11"/>
      <c r="R693" s="54"/>
    </row>
    <row r="694" spans="1:18">
      <c r="A694" s="2"/>
      <c r="B694" s="16"/>
      <c r="C694" s="14"/>
      <c r="D694" s="6"/>
      <c r="G694" s="9"/>
      <c r="H694" s="10"/>
      <c r="I694" s="8"/>
      <c r="J694" s="9"/>
      <c r="K694" s="8"/>
      <c r="Q694" s="11"/>
      <c r="R694" s="54"/>
    </row>
    <row r="695" spans="1:18">
      <c r="A695" s="2"/>
      <c r="B695" s="16"/>
      <c r="D695" s="6"/>
      <c r="G695" s="9"/>
      <c r="H695" s="10"/>
      <c r="I695" s="8"/>
      <c r="J695" s="9"/>
      <c r="K695" s="8"/>
      <c r="Q695" s="11"/>
      <c r="R695" s="54"/>
    </row>
    <row r="696" spans="1:18">
      <c r="A696" s="2"/>
      <c r="B696" s="16"/>
      <c r="D696" s="6"/>
      <c r="G696" s="9"/>
      <c r="H696" s="10"/>
      <c r="I696" s="8"/>
      <c r="J696" s="9"/>
      <c r="K696" s="8"/>
      <c r="Q696" s="11"/>
      <c r="R696" s="54"/>
    </row>
    <row r="697" spans="1:18">
      <c r="A697" s="2"/>
      <c r="B697" s="16"/>
      <c r="D697" s="6"/>
      <c r="G697" s="9"/>
      <c r="H697" s="10"/>
      <c r="I697" s="8"/>
      <c r="J697" s="9"/>
      <c r="K697" s="8"/>
      <c r="Q697" s="11"/>
      <c r="R697" s="54"/>
    </row>
    <row r="698" spans="1:18">
      <c r="A698" s="2"/>
      <c r="B698" s="16"/>
      <c r="D698" s="6"/>
      <c r="G698" s="9"/>
      <c r="H698" s="10"/>
      <c r="I698" s="8"/>
      <c r="J698" s="9"/>
      <c r="K698" s="8"/>
      <c r="Q698" s="11"/>
      <c r="R698" s="54"/>
    </row>
    <row r="699" spans="1:18">
      <c r="A699" s="2"/>
      <c r="B699" s="16"/>
      <c r="D699" s="6"/>
      <c r="G699" s="9"/>
      <c r="H699" s="10"/>
      <c r="I699" s="8"/>
      <c r="J699" s="9"/>
      <c r="K699" s="8"/>
      <c r="Q699" s="11"/>
      <c r="R699" s="54"/>
    </row>
    <row r="700" spans="1:18">
      <c r="A700" s="2"/>
      <c r="B700" s="16"/>
      <c r="C700" s="14"/>
      <c r="D700" s="6"/>
      <c r="G700" s="9"/>
      <c r="H700" s="10"/>
      <c r="I700" s="8"/>
      <c r="J700" s="9"/>
      <c r="K700" s="8"/>
      <c r="Q700" s="11"/>
      <c r="R700" s="54"/>
    </row>
    <row r="701" spans="1:18">
      <c r="A701" s="2"/>
      <c r="B701" s="16"/>
      <c r="C701" s="14"/>
      <c r="D701" s="6"/>
      <c r="G701" s="9"/>
      <c r="H701" s="10"/>
      <c r="I701" s="8"/>
      <c r="J701" s="9"/>
      <c r="K701" s="8"/>
      <c r="Q701" s="11"/>
      <c r="R701" s="54"/>
    </row>
    <row r="702" spans="1:18">
      <c r="A702" s="2"/>
      <c r="B702" s="16"/>
      <c r="D702" s="6"/>
      <c r="G702" s="9"/>
      <c r="H702" s="10"/>
      <c r="I702" s="8"/>
      <c r="J702" s="9"/>
      <c r="K702" s="8"/>
      <c r="Q702" s="11"/>
      <c r="R702" s="54"/>
    </row>
    <row r="703" spans="1:18">
      <c r="A703" s="2"/>
      <c r="B703" s="16"/>
      <c r="D703" s="6"/>
      <c r="G703" s="9"/>
      <c r="H703" s="10"/>
      <c r="I703" s="8"/>
      <c r="J703" s="9"/>
      <c r="K703" s="8"/>
      <c r="Q703" s="11"/>
      <c r="R703" s="54"/>
    </row>
    <row r="704" spans="1:18">
      <c r="A704" s="2"/>
      <c r="B704" s="16"/>
      <c r="C704" s="14"/>
      <c r="D704" s="6"/>
      <c r="G704" s="9"/>
      <c r="H704" s="10"/>
      <c r="I704" s="8"/>
      <c r="J704" s="9"/>
      <c r="K704" s="8"/>
      <c r="Q704" s="11"/>
      <c r="R704" s="54"/>
    </row>
    <row r="705" spans="1:18">
      <c r="A705" s="2"/>
      <c r="B705" s="16"/>
      <c r="C705" s="14"/>
      <c r="D705" s="6"/>
      <c r="G705" s="9"/>
      <c r="H705" s="10"/>
      <c r="I705" s="8"/>
      <c r="J705" s="9"/>
      <c r="K705" s="8"/>
      <c r="Q705" s="11"/>
      <c r="R705" s="54"/>
    </row>
    <row r="706" spans="1:18">
      <c r="A706" s="2"/>
      <c r="B706" s="16"/>
      <c r="C706" s="14"/>
      <c r="D706" s="6"/>
      <c r="G706" s="9"/>
      <c r="H706" s="10"/>
      <c r="I706" s="8"/>
      <c r="J706" s="9"/>
      <c r="K706" s="8"/>
      <c r="Q706" s="11"/>
      <c r="R706" s="54"/>
    </row>
    <row r="707" spans="1:18">
      <c r="A707" s="2"/>
      <c r="B707" s="16"/>
      <c r="C707" s="14"/>
      <c r="D707" s="6"/>
      <c r="G707" s="9"/>
      <c r="H707" s="10"/>
      <c r="I707" s="8"/>
      <c r="J707" s="9"/>
      <c r="K707" s="8"/>
      <c r="Q707" s="11"/>
      <c r="R707" s="54"/>
    </row>
    <row r="708" spans="1:18">
      <c r="A708" s="2"/>
      <c r="B708" s="16"/>
      <c r="D708" s="6"/>
      <c r="G708" s="9"/>
      <c r="H708" s="10"/>
      <c r="I708" s="8"/>
      <c r="J708" s="9"/>
      <c r="K708" s="8"/>
      <c r="Q708" s="11"/>
      <c r="R708" s="54"/>
    </row>
    <row r="709" spans="1:18">
      <c r="A709" s="2"/>
      <c r="B709" s="16"/>
      <c r="D709" s="6"/>
      <c r="G709" s="9"/>
      <c r="H709" s="10"/>
      <c r="I709" s="8"/>
      <c r="J709" s="9"/>
      <c r="K709" s="8"/>
      <c r="Q709" s="11"/>
      <c r="R709" s="54"/>
    </row>
    <row r="710" spans="1:18">
      <c r="A710" s="2"/>
      <c r="B710" s="16"/>
      <c r="D710" s="6"/>
      <c r="G710" s="9"/>
      <c r="H710" s="10"/>
      <c r="I710" s="8"/>
      <c r="J710" s="9"/>
      <c r="K710" s="8"/>
      <c r="Q710" s="11"/>
      <c r="R710" s="54"/>
    </row>
    <row r="711" spans="1:18">
      <c r="A711" s="2"/>
      <c r="B711" s="16"/>
      <c r="D711" s="6"/>
      <c r="G711" s="9"/>
      <c r="H711" s="10"/>
      <c r="I711" s="8"/>
      <c r="J711" s="9"/>
      <c r="K711" s="8"/>
      <c r="Q711" s="11"/>
      <c r="R711" s="54"/>
    </row>
    <row r="712" spans="1:18">
      <c r="A712" s="2"/>
      <c r="B712" s="16"/>
      <c r="D712" s="6"/>
      <c r="G712" s="9"/>
      <c r="H712" s="10"/>
      <c r="I712" s="8"/>
      <c r="J712" s="9"/>
      <c r="K712" s="8"/>
      <c r="Q712" s="11"/>
      <c r="R712" s="54"/>
    </row>
    <row r="713" spans="1:18">
      <c r="A713" s="2"/>
      <c r="B713" s="16"/>
      <c r="D713" s="6"/>
      <c r="G713" s="9"/>
      <c r="H713" s="10"/>
      <c r="I713" s="8"/>
      <c r="J713" s="9"/>
      <c r="K713" s="8"/>
      <c r="Q713" s="11"/>
      <c r="R713" s="54"/>
    </row>
    <row r="714" spans="1:18">
      <c r="A714" s="2"/>
      <c r="B714" s="16"/>
      <c r="D714" s="6"/>
      <c r="G714" s="9"/>
      <c r="H714" s="10"/>
      <c r="I714" s="8"/>
      <c r="J714" s="9"/>
      <c r="K714" s="8"/>
      <c r="Q714" s="11"/>
      <c r="R714" s="54"/>
    </row>
    <row r="715" spans="1:18">
      <c r="A715" s="2"/>
      <c r="B715" s="16"/>
      <c r="D715" s="6"/>
      <c r="G715" s="9"/>
      <c r="H715" s="10"/>
      <c r="I715" s="8"/>
      <c r="J715" s="9"/>
      <c r="K715" s="8"/>
      <c r="Q715" s="11"/>
      <c r="R715" s="54"/>
    </row>
    <row r="716" spans="1:18">
      <c r="A716" s="2"/>
      <c r="B716" s="16"/>
      <c r="C716" s="14"/>
      <c r="D716" s="6"/>
      <c r="G716" s="9"/>
      <c r="H716" s="10"/>
      <c r="I716" s="8"/>
      <c r="J716" s="9"/>
      <c r="K716" s="8"/>
      <c r="Q716" s="11"/>
      <c r="R716" s="54"/>
    </row>
    <row r="717" spans="1:18">
      <c r="A717" s="2"/>
      <c r="B717" s="16"/>
      <c r="C717" s="14"/>
      <c r="D717" s="6"/>
      <c r="G717" s="9"/>
      <c r="H717" s="10"/>
      <c r="I717" s="8"/>
      <c r="J717" s="9"/>
      <c r="K717" s="8"/>
      <c r="Q717" s="11"/>
      <c r="R717" s="54"/>
    </row>
    <row r="718" spans="1:18">
      <c r="A718" s="2"/>
      <c r="B718" s="16"/>
      <c r="C718" s="14"/>
      <c r="D718" s="6"/>
      <c r="G718" s="9"/>
      <c r="H718" s="10"/>
      <c r="I718" s="8"/>
      <c r="J718" s="9"/>
      <c r="K718" s="8"/>
      <c r="Q718" s="11"/>
      <c r="R718" s="54"/>
    </row>
    <row r="719" spans="1:18">
      <c r="A719" s="2"/>
      <c r="B719" s="16"/>
      <c r="C719" s="14"/>
      <c r="D719" s="6"/>
      <c r="G719" s="9"/>
      <c r="H719" s="10"/>
      <c r="I719" s="8"/>
      <c r="J719" s="9"/>
      <c r="K719" s="8"/>
      <c r="Q719" s="11"/>
      <c r="R719" s="54"/>
    </row>
    <row r="720" spans="1:18">
      <c r="A720" s="2"/>
      <c r="B720" s="16"/>
      <c r="C720" s="14"/>
      <c r="D720" s="6"/>
      <c r="G720" s="9"/>
      <c r="H720" s="10"/>
      <c r="I720" s="8"/>
      <c r="J720" s="9"/>
      <c r="K720" s="8"/>
      <c r="Q720" s="11"/>
      <c r="R720" s="54"/>
    </row>
    <row r="721" spans="1:18">
      <c r="A721" s="2"/>
      <c r="B721" s="16"/>
      <c r="C721" s="14"/>
      <c r="D721" s="6"/>
      <c r="G721" s="9"/>
      <c r="H721" s="10"/>
      <c r="I721" s="8"/>
      <c r="J721" s="9"/>
      <c r="K721" s="8"/>
      <c r="Q721" s="11"/>
      <c r="R721" s="54"/>
    </row>
    <row r="722" spans="1:18">
      <c r="A722" s="2"/>
      <c r="B722" s="16"/>
      <c r="C722" s="14"/>
      <c r="D722" s="6"/>
      <c r="G722" s="9"/>
      <c r="H722" s="10"/>
      <c r="I722" s="8"/>
      <c r="J722" s="9"/>
      <c r="K722" s="8"/>
      <c r="Q722" s="11"/>
      <c r="R722" s="54"/>
    </row>
    <row r="723" spans="1:18">
      <c r="A723" s="2"/>
      <c r="B723" s="16"/>
      <c r="C723" s="14"/>
      <c r="D723" s="6"/>
      <c r="G723" s="9"/>
      <c r="H723" s="10"/>
      <c r="I723" s="8"/>
      <c r="J723" s="9"/>
      <c r="K723" s="8"/>
      <c r="Q723" s="11"/>
      <c r="R723" s="54"/>
    </row>
    <row r="724" spans="1:18">
      <c r="A724" s="2"/>
      <c r="B724" s="16"/>
      <c r="C724" s="14"/>
      <c r="D724" s="6"/>
      <c r="G724" s="9"/>
      <c r="H724" s="10"/>
      <c r="I724" s="8"/>
      <c r="J724" s="9"/>
      <c r="K724" s="8"/>
      <c r="Q724" s="11"/>
      <c r="R724" s="54"/>
    </row>
    <row r="725" spans="1:18">
      <c r="A725" s="2"/>
      <c r="B725" s="16"/>
      <c r="C725" s="14"/>
      <c r="D725" s="6"/>
      <c r="G725" s="9"/>
      <c r="H725" s="10"/>
      <c r="I725" s="8"/>
      <c r="J725" s="9"/>
      <c r="K725" s="8"/>
      <c r="Q725" s="11"/>
      <c r="R725" s="54"/>
    </row>
    <row r="726" spans="1:18">
      <c r="A726" s="2"/>
      <c r="B726" s="16"/>
      <c r="C726" s="14"/>
      <c r="D726" s="6"/>
      <c r="G726" s="9"/>
      <c r="H726" s="10"/>
      <c r="I726" s="8"/>
      <c r="J726" s="9"/>
      <c r="K726" s="8"/>
      <c r="Q726" s="11"/>
      <c r="R726" s="54"/>
    </row>
    <row r="727" spans="1:18">
      <c r="A727" s="2"/>
      <c r="B727" s="16"/>
      <c r="C727" s="14"/>
      <c r="D727" s="6"/>
      <c r="G727" s="9"/>
      <c r="H727" s="10"/>
      <c r="I727" s="8"/>
      <c r="J727" s="9"/>
      <c r="K727" s="8"/>
      <c r="Q727" s="11"/>
      <c r="R727" s="54"/>
    </row>
    <row r="728" spans="1:18">
      <c r="A728" s="2"/>
      <c r="B728" s="16"/>
      <c r="C728" s="14"/>
      <c r="D728" s="6"/>
      <c r="G728" s="9"/>
      <c r="H728" s="10"/>
      <c r="I728" s="8"/>
      <c r="J728" s="9"/>
      <c r="K728" s="8"/>
      <c r="Q728" s="11"/>
      <c r="R728" s="54"/>
    </row>
    <row r="729" spans="1:18">
      <c r="A729" s="2"/>
      <c r="B729" s="16"/>
      <c r="C729" s="14"/>
      <c r="D729" s="6"/>
      <c r="G729" s="9"/>
      <c r="H729" s="10"/>
      <c r="I729" s="8"/>
      <c r="J729" s="9"/>
      <c r="K729" s="8"/>
      <c r="Q729" s="11"/>
      <c r="R729" s="54"/>
    </row>
    <row r="730" spans="1:18">
      <c r="A730" s="2"/>
      <c r="B730" s="16"/>
      <c r="C730" s="14"/>
      <c r="D730" s="6"/>
      <c r="G730" s="9"/>
      <c r="H730" s="10"/>
      <c r="I730" s="8"/>
      <c r="J730" s="9"/>
      <c r="K730" s="8"/>
      <c r="Q730" s="11"/>
      <c r="R730" s="54"/>
    </row>
    <row r="731" spans="1:18">
      <c r="A731" s="2"/>
      <c r="B731" s="16"/>
      <c r="C731" s="14"/>
      <c r="D731" s="6"/>
      <c r="G731" s="9"/>
      <c r="H731" s="10"/>
      <c r="I731" s="8"/>
      <c r="J731" s="9"/>
      <c r="K731" s="8"/>
      <c r="Q731" s="11"/>
      <c r="R731" s="54"/>
    </row>
    <row r="732" spans="1:18">
      <c r="A732" s="2"/>
      <c r="B732" s="16"/>
      <c r="C732" s="14"/>
      <c r="D732" s="6"/>
      <c r="G732" s="9"/>
      <c r="H732" s="10"/>
      <c r="I732" s="8"/>
      <c r="J732" s="9"/>
      <c r="K732" s="8"/>
      <c r="Q732" s="11"/>
      <c r="R732" s="54"/>
    </row>
    <row r="733" spans="1:18">
      <c r="A733" s="2"/>
      <c r="B733" s="16"/>
      <c r="C733" s="14"/>
      <c r="D733" s="6"/>
      <c r="G733" s="9"/>
      <c r="H733" s="10"/>
      <c r="I733" s="8"/>
      <c r="J733" s="9"/>
      <c r="K733" s="8"/>
      <c r="Q733" s="11"/>
      <c r="R733" s="54"/>
    </row>
    <row r="734" spans="1:18">
      <c r="A734" s="2"/>
      <c r="B734" s="16"/>
      <c r="C734" s="14"/>
      <c r="D734" s="6"/>
      <c r="G734" s="9"/>
      <c r="H734" s="10"/>
      <c r="I734" s="8"/>
      <c r="J734" s="9"/>
      <c r="K734" s="8"/>
      <c r="Q734" s="11"/>
      <c r="R734" s="54"/>
    </row>
    <row r="735" spans="1:18">
      <c r="A735" s="2"/>
      <c r="B735" s="16"/>
      <c r="C735" s="14"/>
      <c r="D735" s="6"/>
      <c r="G735" s="9"/>
      <c r="H735" s="10"/>
      <c r="I735" s="8"/>
      <c r="J735" s="9"/>
      <c r="K735" s="8"/>
      <c r="Q735" s="11"/>
      <c r="R735" s="54"/>
    </row>
    <row r="736" spans="1:18">
      <c r="A736" s="2"/>
      <c r="B736" s="16"/>
      <c r="C736" s="14"/>
      <c r="D736" s="6"/>
      <c r="G736" s="9"/>
      <c r="H736" s="10"/>
      <c r="I736" s="8"/>
      <c r="J736" s="9"/>
      <c r="K736" s="8"/>
      <c r="Q736" s="11"/>
      <c r="R736" s="54"/>
    </row>
    <row r="737" spans="1:18">
      <c r="A737" s="2"/>
      <c r="B737" s="16"/>
      <c r="C737" s="14"/>
      <c r="D737" s="6"/>
      <c r="G737" s="9"/>
      <c r="H737" s="10"/>
      <c r="I737" s="8"/>
      <c r="J737" s="9"/>
      <c r="K737" s="8"/>
      <c r="Q737" s="11"/>
      <c r="R737" s="54"/>
    </row>
    <row r="738" spans="1:18">
      <c r="A738" s="2"/>
      <c r="B738" s="16"/>
      <c r="C738" s="14"/>
      <c r="D738" s="6"/>
      <c r="G738" s="9"/>
      <c r="H738" s="10"/>
      <c r="I738" s="8"/>
      <c r="J738" s="9"/>
      <c r="K738" s="8"/>
      <c r="Q738" s="11"/>
      <c r="R738" s="54"/>
    </row>
    <row r="739" spans="1:18">
      <c r="A739" s="2"/>
      <c r="B739" s="16"/>
      <c r="C739" s="14"/>
      <c r="D739" s="6"/>
      <c r="G739" s="9"/>
      <c r="H739" s="10"/>
      <c r="I739" s="8"/>
      <c r="J739" s="9"/>
      <c r="K739" s="8"/>
      <c r="Q739" s="11"/>
      <c r="R739" s="54"/>
    </row>
    <row r="740" spans="1:18">
      <c r="A740" s="2"/>
      <c r="B740" s="16"/>
      <c r="C740" s="14"/>
      <c r="D740" s="6"/>
      <c r="G740" s="9"/>
      <c r="H740" s="10"/>
      <c r="I740" s="8"/>
      <c r="J740" s="9"/>
      <c r="K740" s="8"/>
      <c r="Q740" s="11"/>
      <c r="R740" s="54"/>
    </row>
    <row r="741" spans="1:18">
      <c r="A741" s="2"/>
      <c r="B741" s="16"/>
      <c r="C741" s="14"/>
      <c r="D741" s="6"/>
      <c r="G741" s="9"/>
      <c r="H741" s="10"/>
      <c r="I741" s="8"/>
      <c r="J741" s="9"/>
      <c r="K741" s="8"/>
      <c r="Q741" s="11"/>
      <c r="R741" s="54"/>
    </row>
    <row r="742" spans="1:18">
      <c r="A742" s="2"/>
      <c r="B742" s="16"/>
      <c r="C742" s="14"/>
      <c r="D742" s="6"/>
      <c r="G742" s="9"/>
      <c r="H742" s="10"/>
      <c r="I742" s="8"/>
      <c r="J742" s="9"/>
      <c r="K742" s="8"/>
      <c r="Q742" s="11"/>
      <c r="R742" s="54"/>
    </row>
    <row r="743" spans="1:18">
      <c r="A743" s="2"/>
      <c r="B743" s="16"/>
      <c r="C743" s="14"/>
      <c r="D743" s="6"/>
      <c r="G743" s="9"/>
      <c r="H743" s="10"/>
      <c r="I743" s="8"/>
      <c r="J743" s="9"/>
      <c r="K743" s="8"/>
      <c r="Q743" s="11"/>
      <c r="R743" s="54"/>
    </row>
    <row r="744" spans="1:18">
      <c r="A744" s="2"/>
      <c r="B744" s="16"/>
      <c r="C744" s="14"/>
      <c r="D744" s="6"/>
      <c r="G744" s="9"/>
      <c r="H744" s="10"/>
      <c r="I744" s="8"/>
      <c r="J744" s="9"/>
      <c r="K744" s="8"/>
      <c r="Q744" s="11"/>
      <c r="R744" s="54"/>
    </row>
    <row r="745" spans="1:18">
      <c r="A745" s="2"/>
      <c r="B745" s="16"/>
      <c r="C745" s="14"/>
      <c r="D745" s="6"/>
      <c r="G745" s="9"/>
      <c r="H745" s="10"/>
      <c r="I745" s="8"/>
      <c r="J745" s="9"/>
      <c r="K745" s="8"/>
      <c r="Q745" s="11"/>
      <c r="R745" s="54"/>
    </row>
    <row r="746" spans="1:18">
      <c r="A746" s="2"/>
      <c r="B746" s="16"/>
      <c r="D746" s="6"/>
      <c r="G746" s="9"/>
      <c r="H746" s="10"/>
      <c r="I746" s="8"/>
      <c r="J746" s="9"/>
      <c r="K746" s="8"/>
      <c r="Q746" s="11"/>
      <c r="R746" s="54"/>
    </row>
    <row r="747" spans="1:18">
      <c r="A747" s="2"/>
      <c r="B747" s="16"/>
      <c r="D747" s="6"/>
      <c r="G747" s="9"/>
      <c r="H747" s="10"/>
      <c r="I747" s="8"/>
      <c r="J747" s="9"/>
      <c r="K747" s="8"/>
      <c r="Q747" s="11"/>
      <c r="R747" s="54"/>
    </row>
    <row r="748" spans="1:18">
      <c r="A748" s="2"/>
      <c r="B748" s="16"/>
      <c r="D748" s="6"/>
      <c r="G748" s="9"/>
      <c r="H748" s="10"/>
      <c r="I748" s="8"/>
      <c r="J748" s="9"/>
      <c r="K748" s="8"/>
      <c r="Q748" s="11"/>
      <c r="R748" s="54"/>
    </row>
    <row r="749" spans="1:18">
      <c r="A749" s="2"/>
      <c r="B749" s="16"/>
      <c r="C749" s="14"/>
      <c r="D749" s="6"/>
      <c r="G749" s="9"/>
      <c r="H749" s="10"/>
      <c r="I749" s="8"/>
      <c r="J749" s="9"/>
      <c r="K749" s="8"/>
      <c r="Q749" s="11"/>
      <c r="R749" s="54"/>
    </row>
    <row r="750" spans="1:18">
      <c r="A750" s="2"/>
      <c r="B750" s="16"/>
      <c r="D750" s="6"/>
      <c r="G750" s="9"/>
      <c r="H750" s="10"/>
      <c r="I750" s="8"/>
      <c r="J750" s="9"/>
      <c r="K750" s="8"/>
      <c r="Q750" s="11"/>
      <c r="R750" s="54"/>
    </row>
    <row r="751" spans="1:18">
      <c r="A751" s="2"/>
      <c r="B751" s="16"/>
      <c r="C751" s="14"/>
      <c r="D751" s="6"/>
      <c r="G751" s="9"/>
      <c r="H751" s="10"/>
      <c r="I751" s="8"/>
      <c r="J751" s="9"/>
      <c r="K751" s="8"/>
      <c r="Q751" s="11"/>
      <c r="R751" s="54"/>
    </row>
    <row r="752" spans="1:18">
      <c r="A752" s="2"/>
      <c r="B752" s="16"/>
      <c r="C752" s="14"/>
      <c r="D752" s="6"/>
      <c r="G752" s="9"/>
      <c r="H752" s="10"/>
      <c r="I752" s="8"/>
      <c r="J752" s="9"/>
      <c r="K752" s="8"/>
      <c r="Q752" s="11"/>
      <c r="R752" s="54"/>
    </row>
    <row r="753" spans="1:25">
      <c r="A753" s="2"/>
      <c r="B753" s="16"/>
      <c r="C753" s="14"/>
      <c r="D753" s="6"/>
      <c r="G753" s="9"/>
      <c r="H753" s="10"/>
      <c r="I753" s="8"/>
      <c r="J753" s="9"/>
      <c r="K753" s="8"/>
      <c r="Q753" s="11"/>
      <c r="R753" s="54"/>
    </row>
    <row r="754" spans="1:25">
      <c r="A754" s="2"/>
      <c r="B754" s="16"/>
      <c r="C754" s="14"/>
      <c r="D754" s="6"/>
      <c r="G754" s="9"/>
      <c r="H754" s="10"/>
      <c r="I754" s="8"/>
      <c r="J754" s="9"/>
      <c r="K754" s="8"/>
      <c r="Q754" s="11"/>
      <c r="R754" s="54"/>
    </row>
    <row r="755" spans="1:25">
      <c r="A755" s="2"/>
      <c r="B755" s="16"/>
      <c r="D755" s="6"/>
      <c r="G755" s="9"/>
      <c r="H755" s="10"/>
      <c r="I755" s="8"/>
      <c r="J755" s="9"/>
      <c r="K755" s="8"/>
      <c r="Q755" s="11"/>
      <c r="R755" s="54"/>
    </row>
    <row r="756" spans="1:25">
      <c r="A756" s="2"/>
      <c r="B756" s="16"/>
      <c r="C756" s="14"/>
      <c r="D756" s="6"/>
      <c r="G756" s="9"/>
      <c r="H756" s="10"/>
      <c r="I756" s="8"/>
      <c r="J756" s="9"/>
      <c r="K756" s="8"/>
      <c r="Q756" s="11"/>
      <c r="R756" s="54"/>
    </row>
    <row r="757" spans="1:25">
      <c r="A757" s="2"/>
      <c r="B757" s="16"/>
      <c r="C757" s="14"/>
      <c r="D757" s="6"/>
      <c r="G757" s="9"/>
      <c r="H757" s="10"/>
      <c r="I757" s="8"/>
      <c r="J757" s="9"/>
      <c r="K757" s="8"/>
      <c r="Q757" s="11"/>
      <c r="R757" s="54"/>
    </row>
    <row r="758" spans="1:25">
      <c r="Y758" s="5"/>
    </row>
    <row r="759" spans="1:25">
      <c r="Y759" s="5"/>
    </row>
    <row r="761" spans="1:25">
      <c r="Y761" s="5"/>
    </row>
    <row r="762" spans="1:25">
      <c r="Y762" s="5"/>
    </row>
    <row r="763" spans="1:25">
      <c r="Y763" s="5"/>
    </row>
    <row r="764" spans="1:25">
      <c r="Y764" s="5"/>
    </row>
    <row r="765" spans="1:25">
      <c r="Y765" s="5"/>
    </row>
    <row r="766" spans="1:25">
      <c r="Y766" s="5"/>
    </row>
    <row r="767" spans="1:25">
      <c r="Y767" s="5"/>
    </row>
    <row r="770" spans="25:25">
      <c r="Y770" s="5"/>
    </row>
    <row r="771" spans="25:25">
      <c r="Y771" s="5"/>
    </row>
  </sheetData>
  <phoneticPr fontId="0" type="noConversion"/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&amp;L&amp;"Arial,Vet"Bijlage 3 staat bedrijfsactiviteiten&amp;C&amp;"Arial,Vet"&amp;11LIJST 1 - ACTIVITEITEN&amp;Rdefinitief  maart 2009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263F8-04BC-4486-B67F-C211651C684C}">
  <dimension ref="A1:B12"/>
  <sheetViews>
    <sheetView workbookViewId="0">
      <selection sqref="A1:B12"/>
    </sheetView>
  </sheetViews>
  <sheetFormatPr defaultRowHeight="12.75"/>
  <sheetData>
    <row r="1" spans="1:2">
      <c r="A1" t="s">
        <v>884</v>
      </c>
      <c r="B1" t="s">
        <v>885</v>
      </c>
    </row>
    <row r="3" spans="1:2">
      <c r="A3">
        <v>10</v>
      </c>
      <c r="B3">
        <v>1</v>
      </c>
    </row>
    <row r="4" spans="1:2">
      <c r="A4">
        <v>30</v>
      </c>
      <c r="B4">
        <v>2</v>
      </c>
    </row>
    <row r="5" spans="1:2">
      <c r="A5">
        <v>50</v>
      </c>
      <c r="B5" t="s">
        <v>886</v>
      </c>
    </row>
    <row r="6" spans="1:2">
      <c r="A6">
        <v>100</v>
      </c>
      <c r="B6" t="s">
        <v>609</v>
      </c>
    </row>
    <row r="7" spans="1:2">
      <c r="A7">
        <v>200</v>
      </c>
      <c r="B7" t="s">
        <v>887</v>
      </c>
    </row>
    <row r="8" spans="1:2">
      <c r="A8">
        <v>300</v>
      </c>
      <c r="B8" t="s">
        <v>888</v>
      </c>
    </row>
    <row r="9" spans="1:2">
      <c r="A9">
        <v>500</v>
      </c>
      <c r="B9" t="s">
        <v>889</v>
      </c>
    </row>
    <row r="10" spans="1:2">
      <c r="A10">
        <v>700</v>
      </c>
      <c r="B10" t="s">
        <v>890</v>
      </c>
    </row>
    <row r="11" spans="1:2">
      <c r="A11">
        <v>1000</v>
      </c>
      <c r="B11" t="s">
        <v>891</v>
      </c>
    </row>
    <row r="12" spans="1:2">
      <c r="A12">
        <v>1500</v>
      </c>
      <c r="B12">
        <v>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DHV Group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Barbara Brus</dc:creator>
  <cp:keywords/>
  <dc:description/>
  <cp:lastModifiedBy>X</cp:lastModifiedBy>
  <cp:revision/>
  <dcterms:created xsi:type="dcterms:W3CDTF">2006-06-29T13:13:40Z</dcterms:created>
  <dcterms:modified xsi:type="dcterms:W3CDTF">2026-09-29T14:35:36Z</dcterms:modified>
  <cp:category/>
  <cp:contentStatus/>
</cp:coreProperties>
</file>